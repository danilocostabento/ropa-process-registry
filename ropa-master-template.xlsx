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RO UNIFICADO" sheetId="1" r:id="rId4"/>
    <sheet state="visible" name="Dashboard Geral" sheetId="2" r:id="rId5"/>
    <sheet state="visible" name="Dash_Áreas" sheetId="3" r:id="rId6"/>
    <sheet state="visible" name="Dash_Escritório" sheetId="4" r:id="rId7"/>
    <sheet state="visible" name="Dados" sheetId="5" r:id="rId8"/>
  </sheets>
  <definedNames/>
  <calcPr/>
</workbook>
</file>

<file path=xl/sharedStrings.xml><?xml version="1.0" encoding="utf-8"?>
<sst xmlns="http://schemas.openxmlformats.org/spreadsheetml/2006/main" count="4068" uniqueCount="110">
  <si>
    <t>*Preenchimento obrigatório</t>
  </si>
  <si>
    <t>ÁREA FCAV</t>
  </si>
  <si>
    <t>ESCRITÓRIO</t>
  </si>
  <si>
    <t>PRIVACIDADE FCAV</t>
  </si>
  <si>
    <t>BASE INDICADORES</t>
  </si>
  <si>
    <t>STATUS</t>
  </si>
  <si>
    <t>ÁREA</t>
  </si>
  <si>
    <t>ID</t>
  </si>
  <si>
    <t>PROCESSO</t>
  </si>
  <si>
    <t>DEPTO</t>
  </si>
  <si>
    <t>FINALIDADE/JUSTIFICATIVA</t>
  </si>
  <si>
    <t>DADOS TRATADOS</t>
  </si>
  <si>
    <t>Compartilha/envia para outra área?*</t>
  </si>
  <si>
    <t>Quais áreas? (se Sim)</t>
  </si>
  <si>
    <t>Compartilha com alguém FORA da Empresa?*</t>
  </si>
  <si>
    <t>Quem são? (se Sim)</t>
  </si>
  <si>
    <t>Sistemas/Plataformas utilizadas*</t>
  </si>
  <si>
    <t>ARMAZENAMENTO</t>
  </si>
  <si>
    <t>Como chega até você?</t>
  </si>
  <si>
    <t>Responsável pelo preenchimento</t>
  </si>
  <si>
    <t>Comentários (Opcional)</t>
  </si>
  <si>
    <t>*BASE LEGAL
(Art. 7 - 11 LGPD)</t>
  </si>
  <si>
    <t>*TIPO DE AGENTE DE TRATAMENTO</t>
  </si>
  <si>
    <t>*TIPO DE DADO</t>
  </si>
  <si>
    <t>*TITULARES VULNERÁVEIS</t>
  </si>
  <si>
    <t>*TRANFERÊNCIA
INTERNACIONAL</t>
  </si>
  <si>
    <t>*RETENÇÃO E DESCARTE</t>
  </si>
  <si>
    <t>*OBSERVAÇÕES
RETENÇÃO E
DESCARTE</t>
  </si>
  <si>
    <t>RISCOS IDENTIFICADOS</t>
  </si>
  <si>
    <t>*CLASSIFICAÇÃO DE RISCO</t>
  </si>
  <si>
    <t>OBSERVAÇÕES
RISCOS IDENTIFICADOS</t>
  </si>
  <si>
    <t>DÚVIDAS
ESCRITÓRIO</t>
  </si>
  <si>
    <t>RESPOSTA
FCAV</t>
  </si>
  <si>
    <t>PLANO DE AÇÃO</t>
  </si>
  <si>
    <t>OBSERVAÇÕES
ESCRITÓRIO</t>
  </si>
  <si>
    <t>RELATÓRIOS
AÇÕES COMPLEMENTARES</t>
  </si>
  <si>
    <t>DATA ÚLTIMA ANÁLISE</t>
  </si>
  <si>
    <t>OBSERVAÇÕES FCAV</t>
  </si>
  <si>
    <t>% Preenchimento Área</t>
  </si>
  <si>
    <t>% Preenchimento Escritório</t>
  </si>
  <si>
    <t>% Preenchimento LGPD</t>
  </si>
  <si>
    <t>% Preenchimento Geral</t>
  </si>
  <si>
    <t/>
  </si>
  <si>
    <t>Total de Processos</t>
  </si>
  <si>
    <t>Total de Riscos Identificados</t>
  </si>
  <si>
    <t>Média Geral de Preenchimento</t>
  </si>
  <si>
    <t>Total Envios Internos</t>
  </si>
  <si>
    <t>Total Envios Externos</t>
  </si>
  <si>
    <t>Total de Processos com Dados de Vulneráveis</t>
  </si>
  <si>
    <t>Column 8</t>
  </si>
  <si>
    <t>Área</t>
  </si>
  <si>
    <t>Qtd. Processos</t>
  </si>
  <si>
    <t>% Médio de Preenchimento Área</t>
  </si>
  <si>
    <t>% Médio de Preenchimento Escritório</t>
  </si>
  <si>
    <t>% Médio de Preenchimento Privacidade</t>
  </si>
  <si>
    <t>% Médio de Preenchimento Geral</t>
  </si>
  <si>
    <t>Status Visual</t>
  </si>
  <si>
    <t>Processo</t>
  </si>
  <si>
    <t>Média de Preenchimento</t>
  </si>
  <si>
    <t>Geral</t>
  </si>
  <si>
    <t>Escritório</t>
  </si>
  <si>
    <t>LGPD</t>
  </si>
  <si>
    <t>Dado Pessoal</t>
  </si>
  <si>
    <t>Dado Pessoal Sensível</t>
  </si>
  <si>
    <t>Dados Anonimizados</t>
  </si>
  <si>
    <t>Classificação</t>
  </si>
  <si>
    <t>Quantidade</t>
  </si>
  <si>
    <t>Baixo</t>
  </si>
  <si>
    <t>Médio</t>
  </si>
  <si>
    <t>Alto</t>
  </si>
  <si>
    <t>Não classificado</t>
  </si>
  <si>
    <t>Processos sem Riscos Classificados</t>
  </si>
  <si>
    <t>Quantidade de Processos na Área</t>
  </si>
  <si>
    <t>Quantidade de Coleta de Dados de Vulneráveis</t>
  </si>
  <si>
    <t>Fluxo de Dados</t>
  </si>
  <si>
    <t>Qtd</t>
  </si>
  <si>
    <t>Envio Interno</t>
  </si>
  <si>
    <t>Envio Externo</t>
  </si>
  <si>
    <t>Taxa de Riscos</t>
  </si>
  <si>
    <t>Com Riscos Identificados</t>
  </si>
  <si>
    <t>Vulneráveis</t>
  </si>
  <si>
    <t>Crianças</t>
  </si>
  <si>
    <t>Adolescentes</t>
  </si>
  <si>
    <t>Idosos</t>
  </si>
  <si>
    <t>Titulares Vulneráveis</t>
  </si>
  <si>
    <t>Transferência Internacional</t>
  </si>
  <si>
    <t>Plano de Ação</t>
  </si>
  <si>
    <t>Exemplos de Atividades</t>
  </si>
  <si>
    <t>Exemplos de Motivo</t>
  </si>
  <si>
    <t>Exemplos de Dados</t>
  </si>
  <si>
    <t>Exemplos de Áreas</t>
  </si>
  <si>
    <t>Exemplos de Quem</t>
  </si>
  <si>
    <t>Exemplos de Sistemas</t>
  </si>
  <si>
    <t>Exemplos de Onde Salva</t>
  </si>
  <si>
    <t>Exemplos de Como Chega</t>
  </si>
  <si>
    <t>Código da Área</t>
  </si>
  <si>
    <t>ID Pasta</t>
  </si>
  <si>
    <t>NOTIFICATION_MAIL_HERE</t>
  </si>
  <si>
    <t>AREA_HERE</t>
  </si>
  <si>
    <t>ACTIVITY_EXAMPLES</t>
  </si>
  <si>
    <t>REASON_EXAMPLE</t>
  </si>
  <si>
    <t>DATA_EXAMPLE</t>
  </si>
  <si>
    <t>AREAS_EXAMPLE</t>
  </si>
  <si>
    <t>WHO_EXAMPLES</t>
  </si>
  <si>
    <t>SYSTEMS_EXAMPLES</t>
  </si>
  <si>
    <t>WHERE_EXAMPLES</t>
  </si>
  <si>
    <t>HOW_EXAMPLES</t>
  </si>
  <si>
    <t>SHEET_ID_HERE</t>
  </si>
  <si>
    <t>AREA_CODE</t>
  </si>
  <si>
    <t>FOLDER_ID_HERE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</si>
</sst>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2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3.0"/>
      <color rgb="FFFFFFFF"/>
      <name val="Arial"/>
      <scheme val="minor"/>
    </font>
    <font>
      <b/>
      <sz val="13.0"/>
      <color rgb="FFFFFFFF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strike/>
      <color theme="1"/>
      <name val="Arial"/>
      <scheme val="minor"/>
    </font>
    <font>
      <b/>
      <sz val="11.0"/>
      <color theme="1"/>
      <name val="Arial"/>
      <scheme val="minor"/>
    </font>
    <font>
      <b/>
      <sz val="11.0"/>
      <color rgb="FFFFFFFF"/>
      <name val="Arial"/>
      <scheme val="minor"/>
    </font>
    <font>
      <b/>
      <sz val="11.0"/>
      <color rgb="FF000000"/>
      <name val="Arial"/>
      <scheme val="minor"/>
    </font>
    <font>
      <b/>
      <sz val="17.0"/>
      <color rgb="FF32327F"/>
      <name val="Arial"/>
      <scheme val="minor"/>
    </font>
    <font>
      <b/>
      <sz val="17.0"/>
      <color rgb="FFFFFFFF"/>
      <name val="Arial"/>
      <scheme val="minor"/>
    </font>
    <font>
      <b/>
      <sz val="17.0"/>
      <color rgb="FFFFA45C"/>
      <name val="Arial"/>
      <scheme val="minor"/>
    </font>
    <font>
      <b/>
      <sz val="17.0"/>
      <color rgb="FF6F42C1"/>
      <name val="Arial"/>
      <scheme val="minor"/>
    </font>
    <font>
      <color rgb="FFFFFFFF"/>
      <name val="Arial"/>
      <scheme val="minor"/>
    </font>
    <font>
      <color rgb="FFF3F3F3"/>
      <name val="Arial"/>
      <scheme val="minor"/>
    </font>
    <font>
      <color rgb="FF000000"/>
      <name val="Arial"/>
      <scheme val="minor"/>
    </font>
    <font>
      <sz val="17.0"/>
      <color theme="1"/>
      <name val="Arial"/>
      <scheme val="minor"/>
    </font>
    <font>
      <color rgb="FFDBE4F2"/>
      <name val="Arial"/>
      <scheme val="minor"/>
    </font>
    <font>
      <b/>
      <color rgb="FFF3F3F3"/>
      <name val="Arial"/>
      <scheme val="minor"/>
    </font>
    <font>
      <color rgb="FF000000"/>
      <name val="&quot;Google Sans&quot;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999999"/>
        <bgColor rgb="FF999999"/>
      </patternFill>
    </fill>
    <fill>
      <patternFill patternType="solid">
        <fgColor rgb="FFB4A7D6"/>
        <bgColor rgb="FFB4A7D6"/>
      </patternFill>
    </fill>
    <fill>
      <patternFill patternType="solid">
        <fgColor rgb="FF434343"/>
        <bgColor rgb="FF434343"/>
      </patternFill>
    </fill>
    <fill>
      <patternFill patternType="solid">
        <fgColor rgb="FFA2C4C9"/>
        <bgColor rgb="FFA2C4C9"/>
      </patternFill>
    </fill>
    <fill>
      <patternFill patternType="solid">
        <fgColor rgb="FFA61C00"/>
        <bgColor rgb="FFA61C00"/>
      </patternFill>
    </fill>
    <fill>
      <patternFill patternType="solid">
        <fgColor rgb="FFF3F3F3"/>
        <bgColor rgb="FFF3F3F3"/>
      </patternFill>
    </fill>
    <fill>
      <patternFill patternType="solid">
        <fgColor rgb="FF32327F"/>
        <bgColor rgb="FF32327F"/>
      </patternFill>
    </fill>
    <fill>
      <patternFill patternType="solid">
        <fgColor rgb="FF6C757D"/>
        <bgColor rgb="FF6C757D"/>
      </patternFill>
    </fill>
    <fill>
      <patternFill patternType="solid">
        <fgColor rgb="FFDC3545"/>
        <bgColor rgb="FFDC3545"/>
      </patternFill>
    </fill>
    <fill>
      <patternFill patternType="solid">
        <fgColor rgb="FFD9D9D9"/>
        <bgColor rgb="FFD9D9D9"/>
      </patternFill>
    </fill>
    <fill>
      <patternFill patternType="solid">
        <fgColor rgb="FFFFC107"/>
        <bgColor rgb="FFFFC107"/>
      </patternFill>
    </fill>
    <fill>
      <patternFill patternType="solid">
        <fgColor rgb="FF28A745"/>
        <bgColor rgb="FF28A745"/>
      </patternFill>
    </fill>
  </fills>
  <borders count="11">
    <border/>
    <border>
      <left style="medium">
        <color rgb="FF32327F"/>
      </left>
      <right style="medium">
        <color rgb="FF32327F"/>
      </right>
      <top style="medium">
        <color rgb="FF32327F"/>
      </top>
    </border>
    <border>
      <left style="medium">
        <color rgb="FF32327F"/>
      </left>
      <right style="medium">
        <color rgb="FF32327F"/>
      </right>
      <bottom style="medium">
        <color rgb="FF32327F"/>
      </bottom>
    </border>
    <border>
      <left style="medium">
        <color rgb="FF32327F"/>
      </left>
      <top style="medium">
        <color rgb="FF32327F"/>
      </top>
    </border>
    <border>
      <left style="medium">
        <color rgb="FFFFFFFF"/>
      </left>
      <right style="medium">
        <color rgb="FF32327F"/>
      </right>
      <top style="medium">
        <color rgb="FF32327F"/>
      </top>
    </border>
    <border>
      <left style="medium">
        <color rgb="FF32327F"/>
      </left>
      <right style="medium">
        <color rgb="FF32327F"/>
      </right>
    </border>
    <border>
      <right style="medium">
        <color rgb="FF32327F"/>
      </right>
      <top style="medium">
        <color rgb="FF32327F"/>
      </top>
    </border>
    <border>
      <left style="medium">
        <color rgb="FF32327F"/>
      </left>
    </border>
    <border>
      <right style="medium">
        <color rgb="FF32327F"/>
      </right>
    </border>
    <border>
      <left style="medium">
        <color rgb="FF32327F"/>
      </left>
      <bottom style="medium">
        <color rgb="FF32327F"/>
      </bottom>
    </border>
    <border>
      <right style="medium">
        <color rgb="FF32327F"/>
      </right>
      <bottom style="medium">
        <color rgb="FF32327F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vertical="bottom" wrapText="1"/>
    </xf>
    <xf borderId="0" fillId="2" fontId="1" numFmtId="49" xfId="0" applyAlignment="1" applyFont="1" applyNumberFormat="1">
      <alignment shrinkToFit="0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right" readingOrder="0"/>
    </xf>
    <xf borderId="0" fillId="3" fontId="3" numFmtId="49" xfId="0" applyAlignment="1" applyFill="1" applyFont="1" applyNumberFormat="1">
      <alignment horizontal="center" readingOrder="0" shrinkToFit="0" vertical="center" wrapText="1"/>
    </xf>
    <xf borderId="0" fillId="4" fontId="4" numFmtId="49" xfId="0" applyAlignment="1" applyFill="1" applyFont="1" applyNumberFormat="1">
      <alignment horizontal="center" readingOrder="0" shrinkToFit="0" vertical="center" wrapText="1"/>
    </xf>
    <xf borderId="0" fillId="4" fontId="5" numFmtId="0" xfId="0" applyAlignment="1" applyFont="1">
      <alignment horizontal="center" readingOrder="0" shrinkToFit="0" vertical="center" wrapText="1"/>
    </xf>
    <xf borderId="0" fillId="3" fontId="6" numFmtId="49" xfId="0" applyAlignment="1" applyFont="1" applyNumberFormat="1">
      <alignment horizontal="left" readingOrder="0" shrinkToFit="0" vertical="center" wrapText="1"/>
    </xf>
    <xf borderId="0" fillId="4" fontId="6" numFmtId="49" xfId="0" applyAlignment="1" applyFont="1" applyNumberFormat="1">
      <alignment horizontal="left" readingOrder="0" shrinkToFit="0" vertical="center" wrapText="1"/>
    </xf>
    <xf borderId="0" fillId="5" fontId="6" numFmtId="49" xfId="0" applyAlignment="1" applyFill="1" applyFont="1" applyNumberFormat="1">
      <alignment horizontal="left" readingOrder="0" shrinkToFit="0" vertical="center" wrapText="1"/>
    </xf>
    <xf borderId="0" fillId="6" fontId="6" numFmtId="49" xfId="0" applyAlignment="1" applyFill="1" applyFont="1" applyNumberFormat="1">
      <alignment horizontal="left" readingOrder="0" shrinkToFit="0" vertical="center" wrapText="1"/>
    </xf>
    <xf borderId="0" fillId="7" fontId="6" numFmtId="49" xfId="0" applyAlignment="1" applyFill="1" applyFont="1" applyNumberFormat="1">
      <alignment horizontal="left" readingOrder="0" shrinkToFit="0" vertical="center" wrapText="1"/>
    </xf>
    <xf borderId="0" fillId="8" fontId="6" numFmtId="49" xfId="0" applyAlignment="1" applyFill="1" applyFont="1" applyNumberFormat="1">
      <alignment horizontal="left" readingOrder="0" shrinkToFit="0" vertical="center" wrapText="1"/>
    </xf>
    <xf borderId="0" fillId="4" fontId="5" numFmtId="0" xfId="0" applyAlignment="1" applyFont="1">
      <alignment horizontal="left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49" xfId="0" applyAlignment="1" applyFont="1" applyNumberForma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9" xfId="0" applyAlignment="1" applyFont="1" applyNumberFormat="1">
      <alignment shrinkToFit="0" vertical="center" wrapText="1"/>
    </xf>
    <xf borderId="0" fillId="0" fontId="2" numFmtId="9" xfId="0" applyAlignment="1" applyFont="1" applyNumberFormat="1">
      <alignment readingOrder="0" shrinkToFit="0" vertical="center" wrapText="1"/>
    </xf>
    <xf borderId="0" fillId="0" fontId="2" numFmtId="10" xfId="0" applyAlignment="1" applyFont="1" applyNumberForma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10" xfId="0" applyAlignment="1" applyFont="1" applyNumberFormat="1">
      <alignment shrinkToFit="0" vertical="center" wrapText="1"/>
    </xf>
    <xf borderId="0" fillId="2" fontId="2" numFmtId="49" xfId="0" applyAlignment="1" applyFont="1" applyNumberForma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49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49" xfId="0" applyAlignment="1" applyFont="1" applyNumberFormat="1">
      <alignment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1"/>
    </xf>
    <xf borderId="0" fillId="0" fontId="7" numFmtId="9" xfId="0" applyAlignment="1" applyFont="1" applyNumberFormat="1">
      <alignment shrinkToFit="0" vertical="center" wrapText="1"/>
    </xf>
    <xf borderId="0" fillId="0" fontId="7" numFmtId="10" xfId="0" applyAlignment="1" applyFont="1" applyNumberForma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0" fillId="9" fontId="2" numFmtId="0" xfId="0" applyAlignment="1" applyFill="1" applyFont="1">
      <alignment shrinkToFit="0" wrapText="1"/>
    </xf>
    <xf borderId="0" fillId="9" fontId="2" numFmtId="0" xfId="0" applyAlignment="1" applyFont="1">
      <alignment horizontal="center" shrinkToFit="0" wrapText="1"/>
    </xf>
    <xf borderId="0" fillId="9" fontId="2" numFmtId="1" xfId="0" applyAlignment="1" applyFont="1" applyNumberFormat="1">
      <alignment horizontal="center"/>
    </xf>
    <xf borderId="0" fillId="9" fontId="2" numFmtId="0" xfId="0" applyAlignment="1" applyFont="1">
      <alignment horizontal="center"/>
    </xf>
    <xf borderId="0" fillId="9" fontId="2" numFmtId="0" xfId="0" applyFont="1"/>
    <xf borderId="0" fillId="9" fontId="8" numFmtId="0" xfId="0" applyAlignment="1" applyFont="1">
      <alignment horizontal="center" readingOrder="0" shrinkToFit="0" wrapText="1"/>
    </xf>
    <xf borderId="1" fillId="10" fontId="9" numFmtId="0" xfId="0" applyAlignment="1" applyBorder="1" applyFill="1" applyFont="1">
      <alignment horizontal="center" readingOrder="0" shrinkToFit="0" wrapText="1"/>
    </xf>
    <xf borderId="0" fillId="9" fontId="2" numFmtId="0" xfId="0" applyAlignment="1" applyFont="1">
      <alignment horizontal="center" shrinkToFit="0" vertical="center" wrapText="1"/>
    </xf>
    <xf borderId="1" fillId="9" fontId="10" numFmtId="0" xfId="0" applyAlignment="1" applyBorder="1" applyFont="1">
      <alignment horizontal="center" readingOrder="0" shrinkToFit="0" wrapText="1"/>
    </xf>
    <xf borderId="1" fillId="9" fontId="8" numFmtId="0" xfId="0" applyAlignment="1" applyBorder="1" applyFont="1">
      <alignment horizontal="center" readingOrder="0" shrinkToFit="0" wrapText="1"/>
    </xf>
    <xf borderId="1" fillId="11" fontId="9" numFmtId="0" xfId="0" applyAlignment="1" applyBorder="1" applyFill="1" applyFont="1">
      <alignment horizontal="center" readingOrder="0" shrinkToFit="0" wrapText="1"/>
    </xf>
    <xf borderId="1" fillId="12" fontId="9" numFmtId="0" xfId="0" applyAlignment="1" applyBorder="1" applyFill="1" applyFont="1">
      <alignment horizontal="center" readingOrder="0" shrinkToFit="0" wrapText="1"/>
    </xf>
    <xf borderId="0" fillId="9" fontId="11" numFmtId="3" xfId="0" applyAlignment="1" applyFont="1" applyNumberFormat="1">
      <alignment horizontal="center" shrinkToFit="0" vertical="center" wrapText="1"/>
    </xf>
    <xf borderId="2" fillId="10" fontId="12" numFmtId="3" xfId="0" applyAlignment="1" applyBorder="1" applyFont="1" applyNumberFormat="1">
      <alignment horizontal="center" shrinkToFit="0" vertical="center" wrapText="1"/>
    </xf>
    <xf borderId="2" fillId="9" fontId="13" numFmtId="3" xfId="0" applyAlignment="1" applyBorder="1" applyFont="1" applyNumberFormat="1">
      <alignment horizontal="center" shrinkToFit="0" vertical="center" wrapText="1"/>
    </xf>
    <xf borderId="2" fillId="9" fontId="11" numFmtId="9" xfId="0" applyAlignment="1" applyBorder="1" applyFont="1" applyNumberFormat="1">
      <alignment horizontal="center" shrinkToFit="0" vertical="center" wrapText="1"/>
    </xf>
    <xf borderId="0" fillId="9" fontId="2" numFmtId="1" xfId="0" applyAlignment="1" applyFont="1" applyNumberFormat="1">
      <alignment horizontal="center" vertical="center"/>
    </xf>
    <xf borderId="2" fillId="11" fontId="12" numFmtId="0" xfId="0" applyAlignment="1" applyBorder="1" applyFont="1">
      <alignment horizontal="center" shrinkToFit="0" vertical="center" wrapText="1"/>
    </xf>
    <xf borderId="0" fillId="9" fontId="2" numFmtId="0" xfId="0" applyAlignment="1" applyFont="1">
      <alignment vertical="center"/>
    </xf>
    <xf borderId="2" fillId="9" fontId="14" numFmtId="0" xfId="0" applyAlignment="1" applyBorder="1" applyFont="1">
      <alignment horizontal="center" shrinkToFit="0" vertical="center" wrapText="1"/>
    </xf>
    <xf borderId="2" fillId="12" fontId="1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readingOrder="0" shrinkToFit="0" vertical="center" wrapText="1"/>
    </xf>
    <xf borderId="0" fillId="4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left" readingOrder="0" shrinkToFit="0" vertical="center" wrapText="1"/>
    </xf>
    <xf borderId="0" fillId="9" fontId="2" numFmtId="0" xfId="0" applyAlignment="1" applyFont="1">
      <alignment readingOrder="0" shrinkToFit="0" vertical="center" wrapText="1"/>
    </xf>
    <xf borderId="0" fillId="9" fontId="2" numFmtId="0" xfId="0" applyAlignment="1" applyFont="1">
      <alignment horizontal="center" shrinkToFit="0" vertical="center" wrapText="1"/>
    </xf>
    <xf borderId="0" fillId="9" fontId="2" numFmtId="9" xfId="0" applyAlignment="1" applyFont="1" applyNumberFormat="1">
      <alignment horizontal="center" shrinkToFit="0" vertical="center" wrapText="1"/>
    </xf>
    <xf borderId="0" fillId="9" fontId="2" numFmtId="10" xfId="0" applyAlignment="1" applyFont="1" applyNumberFormat="1">
      <alignment horizontal="center" shrinkToFit="0" vertical="center" wrapText="0"/>
    </xf>
    <xf borderId="0" fillId="9" fontId="2" numFmtId="9" xfId="0" applyAlignment="1" applyFont="1" applyNumberFormat="1">
      <alignment horizontal="center" shrinkToFit="0" vertical="center" wrapText="0"/>
    </xf>
    <xf borderId="0" fillId="9" fontId="2" numFmtId="0" xfId="0" applyAlignment="1" applyFont="1">
      <alignment shrinkToFit="0" vertical="center" wrapText="1"/>
    </xf>
    <xf borderId="0" fillId="9" fontId="2" numFmtId="9" xfId="0" applyAlignment="1" applyFont="1" applyNumberFormat="1">
      <alignment shrinkToFit="0" wrapText="1"/>
    </xf>
    <xf borderId="0" fillId="13" fontId="2" numFmtId="0" xfId="0" applyAlignment="1" applyFill="1" applyFont="1">
      <alignment shrinkToFit="0" vertical="center" wrapText="1"/>
    </xf>
    <xf borderId="0" fillId="13" fontId="2" numFmtId="0" xfId="0" applyAlignment="1" applyFont="1">
      <alignment horizontal="center" shrinkToFit="0" vertical="center" wrapText="1"/>
    </xf>
    <xf borderId="0" fillId="13" fontId="2" numFmtId="9" xfId="0" applyAlignment="1" applyFont="1" applyNumberFormat="1">
      <alignment horizontal="center" shrinkToFit="0" vertical="center" wrapText="1"/>
    </xf>
    <xf borderId="0" fillId="13" fontId="2" numFmtId="10" xfId="0" applyAlignment="1" applyFont="1" applyNumberFormat="1">
      <alignment horizontal="center" shrinkToFit="0" vertical="center" wrapText="0"/>
    </xf>
    <xf borderId="0" fillId="13" fontId="2" numFmtId="9" xfId="0" applyAlignment="1" applyFont="1" applyNumberFormat="1">
      <alignment horizontal="center" shrinkToFit="0" vertical="center" wrapText="0"/>
    </xf>
    <xf borderId="3" fillId="10" fontId="15" numFmtId="0" xfId="0" applyAlignment="1" applyBorder="1" applyFont="1">
      <alignment readingOrder="0" shrinkToFit="0" wrapText="1"/>
    </xf>
    <xf borderId="4" fillId="10" fontId="15" numFmtId="0" xfId="0" applyAlignment="1" applyBorder="1" applyFont="1">
      <alignment readingOrder="0" shrinkToFit="0" wrapText="1"/>
    </xf>
    <xf borderId="1" fillId="9" fontId="2" numFmtId="0" xfId="0" applyAlignment="1" applyBorder="1" applyFont="1">
      <alignment shrinkToFit="0" wrapText="1"/>
    </xf>
    <xf borderId="5" fillId="9" fontId="2" numFmtId="0" xfId="0" applyAlignment="1" applyBorder="1" applyFont="1">
      <alignment shrinkToFit="0" wrapText="1"/>
    </xf>
    <xf borderId="0" fillId="9" fontId="16" numFmtId="0" xfId="0" applyAlignment="1" applyFont="1">
      <alignment horizontal="center"/>
    </xf>
    <xf borderId="0" fillId="9" fontId="16" numFmtId="0" xfId="0" applyFont="1"/>
    <xf borderId="2" fillId="9" fontId="2" numFmtId="0" xfId="0" applyAlignment="1" applyBorder="1" applyFont="1">
      <alignment shrinkToFit="0" wrapText="1"/>
    </xf>
    <xf borderId="0" fillId="9" fontId="16" numFmtId="0" xfId="0" applyAlignment="1" applyFont="1">
      <alignment shrinkToFit="0" wrapText="1"/>
    </xf>
    <xf borderId="0" fillId="9" fontId="16" numFmtId="0" xfId="0" applyAlignment="1" applyFont="1">
      <alignment horizontal="center" shrinkToFit="0" wrapText="1"/>
    </xf>
    <xf borderId="0" fillId="9" fontId="16" numFmtId="1" xfId="0" applyAlignment="1" applyFont="1" applyNumberFormat="1">
      <alignment horizontal="center"/>
    </xf>
    <xf borderId="0" fillId="9" fontId="16" numFmtId="0" xfId="0" applyAlignment="1" applyFont="1">
      <alignment horizontal="center" readingOrder="0"/>
    </xf>
    <xf borderId="0" fillId="9" fontId="16" numFmtId="0" xfId="0" applyAlignment="1" applyFont="1">
      <alignment readingOrder="0"/>
    </xf>
    <xf borderId="0" fillId="9" fontId="2" numFmtId="0" xfId="0" applyAlignment="1" applyFont="1">
      <alignment readingOrder="0"/>
    </xf>
    <xf borderId="3" fillId="10" fontId="5" numFmtId="0" xfId="0" applyBorder="1" applyFont="1"/>
    <xf borderId="6" fillId="10" fontId="5" numFmtId="0" xfId="0" applyAlignment="1" applyBorder="1" applyFont="1">
      <alignment shrinkToFit="0" wrapText="1"/>
    </xf>
    <xf borderId="7" fillId="9" fontId="2" numFmtId="0" xfId="0" applyBorder="1" applyFont="1"/>
    <xf borderId="8" fillId="9" fontId="2" numFmtId="0" xfId="0" applyAlignment="1" applyBorder="1" applyFont="1">
      <alignment shrinkToFit="0" wrapText="1"/>
    </xf>
    <xf borderId="9" fillId="9" fontId="2" numFmtId="0" xfId="0" applyBorder="1" applyFont="1"/>
    <xf borderId="10" fillId="9" fontId="2" numFmtId="0" xfId="0" applyAlignment="1" applyBorder="1" applyFont="1">
      <alignment shrinkToFit="0" wrapText="1"/>
    </xf>
    <xf borderId="1" fillId="14" fontId="9" numFmtId="0" xfId="0" applyAlignment="1" applyBorder="1" applyFill="1" applyFont="1">
      <alignment horizontal="center" readingOrder="0" shrinkToFit="0" vertical="center" wrapText="1"/>
    </xf>
    <xf borderId="2" fillId="14" fontId="12" numFmtId="3" xfId="0" applyAlignment="1" applyBorder="1" applyFont="1" applyNumberFormat="1">
      <alignment horizontal="center" shrinkToFit="0" vertical="center" wrapText="1"/>
    </xf>
    <xf borderId="2" fillId="12" fontId="12" numFmtId="3" xfId="0" applyAlignment="1" applyBorder="1" applyFont="1" applyNumberFormat="1">
      <alignment horizontal="center" shrinkToFit="0" vertical="center" wrapText="1"/>
    </xf>
    <xf borderId="0" fillId="9" fontId="17" numFmtId="0" xfId="0" applyFont="1"/>
    <xf borderId="0" fillId="9" fontId="17" numFmtId="0" xfId="0" applyAlignment="1" applyFont="1">
      <alignment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5" numFmtId="0" xfId="0" applyFont="1"/>
    <xf borderId="0" fillId="9" fontId="16" numFmtId="0" xfId="0" applyAlignment="1" applyFont="1">
      <alignment readingOrder="0" shrinkToFit="0" wrapText="1"/>
    </xf>
    <xf borderId="0" fillId="9" fontId="16" numFmtId="3" xfId="0" applyAlignment="1" applyFont="1" applyNumberFormat="1">
      <alignment shrinkToFit="0" wrapText="1"/>
    </xf>
    <xf borderId="0" fillId="9" fontId="18" numFmtId="0" xfId="0" applyFont="1"/>
    <xf borderId="0" fillId="9" fontId="9" numFmtId="0" xfId="0" applyAlignment="1" applyFont="1">
      <alignment horizontal="center" readingOrder="0" shrinkToFit="0" vertical="center" wrapText="1"/>
    </xf>
    <xf borderId="1" fillId="12" fontId="9" numFmtId="0" xfId="0" applyAlignment="1" applyBorder="1" applyFont="1">
      <alignment horizontal="center" readingOrder="0" shrinkToFit="0" vertical="center" wrapText="1"/>
    </xf>
    <xf borderId="1" fillId="10" fontId="9" numFmtId="0" xfId="0" applyAlignment="1" applyBorder="1" applyFont="1">
      <alignment horizontal="center" readingOrder="0" shrinkToFit="0" vertical="center" wrapText="1"/>
    </xf>
    <xf borderId="1" fillId="15" fontId="9" numFmtId="0" xfId="0" applyAlignment="1" applyBorder="1" applyFill="1" applyFont="1">
      <alignment horizontal="center" readingOrder="0" shrinkToFit="0" vertical="center" wrapText="1"/>
    </xf>
    <xf borderId="0" fillId="9" fontId="8" numFmtId="0" xfId="0" applyAlignment="1" applyFont="1">
      <alignment horizontal="center" readingOrder="0" shrinkToFit="0" vertical="center" wrapText="1"/>
    </xf>
    <xf borderId="0" fillId="9" fontId="12" numFmtId="0" xfId="0" applyAlignment="1" applyFont="1">
      <alignment horizontal="center" shrinkToFit="0" vertical="center" wrapText="1"/>
    </xf>
    <xf borderId="2" fillId="10" fontId="12" numFmtId="0" xfId="0" applyAlignment="1" applyBorder="1" applyFont="1">
      <alignment horizontal="center" shrinkToFit="0" vertical="center" wrapText="1"/>
    </xf>
    <xf borderId="2" fillId="15" fontId="12" numFmtId="0" xfId="0" applyAlignment="1" applyBorder="1" applyFont="1">
      <alignment horizontal="center" shrinkToFit="0" vertical="center" wrapText="1"/>
    </xf>
    <xf borderId="0" fillId="9" fontId="11" numFmtId="0" xfId="0" applyAlignment="1" applyFont="1">
      <alignment horizontal="center" shrinkToFit="0" vertical="center" wrapText="1"/>
    </xf>
    <xf borderId="0" fillId="9" fontId="19" numFmtId="0" xfId="0" applyAlignment="1" applyFont="1">
      <alignment shrinkToFit="0" wrapText="1"/>
    </xf>
    <xf borderId="0" fillId="9" fontId="16" numFmtId="3" xfId="0" applyFont="1" applyNumberFormat="1"/>
    <xf borderId="0" fillId="9" fontId="16" numFmtId="0" xfId="0" applyAlignment="1" applyFont="1">
      <alignment horizontal="center" vertical="center"/>
    </xf>
    <xf borderId="0" fillId="9" fontId="20" numFmtId="0" xfId="0" applyAlignment="1" applyFont="1">
      <alignment shrinkToFit="0" wrapText="1"/>
    </xf>
    <xf borderId="0" fillId="9" fontId="20" numFmtId="0" xfId="0" applyAlignment="1" applyFont="1">
      <alignment horizontal="center" vertical="center"/>
    </xf>
    <xf borderId="0" fillId="9" fontId="17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2" fontId="21" numFmtId="0" xfId="0" applyAlignment="1" applyFont="1">
      <alignment readingOrder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ont>
        <color rgb="FF38761D"/>
      </font>
      <fill>
        <patternFill patternType="none"/>
      </fill>
      <border/>
    </dxf>
    <dxf>
      <font>
        <color rgb="FFBF9000"/>
      </font>
      <fill>
        <patternFill patternType="none"/>
      </fill>
      <border/>
    </dxf>
    <dxf>
      <font/>
      <fill>
        <patternFill patternType="solid">
          <fgColor rgb="FF32327F"/>
          <bgColor rgb="FF32327F"/>
        </patternFill>
      </fill>
      <border/>
    </dxf>
  </dxfs>
  <tableStyles count="2">
    <tableStyle count="4" pivot="0" name="REGISTRO UNIFICA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shboard Geral-style">
      <tableStyleElement dxfId="7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Volume de Processos por Área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Geral'!$C$7</c:f>
            </c:strRef>
          </c:tx>
          <c:cat>
            <c:strRef>
              <c:f>'Dashboard Geral'!$B$8:$B$18</c:f>
            </c:strRef>
          </c:cat>
          <c:val>
            <c:numRef>
              <c:f>'Dashboard Geral'!$C$8:$C$18</c:f>
              <c:numCache/>
            </c:numRef>
          </c:val>
        </c:ser>
        <c:axId val="83836703"/>
        <c:axId val="1772450366"/>
      </c:barChart>
      <c:catAx>
        <c:axId val="83836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Área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2450366"/>
      </c:catAx>
      <c:valAx>
        <c:axId val="177245036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838367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Qtd Vulneráveis versus Área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'Dashboard Geral'!$R$24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Geral'!$Q$25:$Q$35</c:f>
            </c:strRef>
          </c:cat>
          <c:val>
            <c:numRef>
              <c:f>'Dashboard Geral'!$R$25:$R$35</c:f>
              <c:numCache/>
            </c:numRef>
          </c:val>
        </c:ser>
        <c:axId val="1820045011"/>
        <c:axId val="664801374"/>
      </c:barChart>
      <c:catAx>
        <c:axId val="182004501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Área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801374"/>
      </c:catAx>
      <c:valAx>
        <c:axId val="6648013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Qtd Vulneráveis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04501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Processos e Com Riscos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Geral'!$D$40</c:f>
            </c:strRef>
          </c:tx>
          <c:spPr>
            <a:solidFill>
              <a:srgbClr val="32327F"/>
            </a:solidFill>
            <a:ln cmpd="sng">
              <a:solidFill>
                <a:srgbClr val="000000"/>
              </a:solidFill>
            </a:ln>
          </c:spPr>
          <c:cat>
            <c:strRef>
              <c:f>'Dashboard Geral'!$C$41:$C$51</c:f>
            </c:strRef>
          </c:cat>
          <c:val>
            <c:numRef>
              <c:f>'Dashboard Geral'!$D$41:$D$51</c:f>
              <c:numCache/>
            </c:numRef>
          </c:val>
        </c:ser>
        <c:ser>
          <c:idx val="1"/>
          <c:order val="1"/>
          <c:tx>
            <c:strRef>
              <c:f>'Dashboard Geral'!$E$40</c:f>
            </c:strRef>
          </c:tx>
          <c:spPr>
            <a:solidFill>
              <a:srgbClr val="990000"/>
            </a:solidFill>
            <a:ln cmpd="sng">
              <a:solidFill>
                <a:srgbClr val="000000"/>
              </a:solidFill>
            </a:ln>
          </c:spPr>
          <c:cat>
            <c:strRef>
              <c:f>'Dashboard Geral'!$C$41:$C$51</c:f>
            </c:strRef>
          </c:cat>
          <c:val>
            <c:numRef>
              <c:f>'Dashboard Geral'!$E$41:$E$51</c:f>
              <c:numCache/>
            </c:numRef>
          </c:val>
        </c:ser>
        <c:axId val="495818718"/>
        <c:axId val="599357154"/>
      </c:barChart>
      <c:catAx>
        <c:axId val="4958187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Área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357154"/>
      </c:catAx>
      <c:valAx>
        <c:axId val="599357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8187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Envio Interno e Externo por Área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'Dashboard Geral'!$H$25</c:f>
            </c:strRef>
          </c:tx>
          <c:spPr>
            <a:solidFill>
              <a:srgbClr val="32327F"/>
            </a:solidFill>
            <a:ln cmpd="sng">
              <a:solidFill>
                <a:srgbClr val="000000"/>
              </a:solidFill>
            </a:ln>
          </c:spPr>
          <c:cat>
            <c:strRef>
              <c:f>'Dashboard Geral'!$G$26:$G$36</c:f>
            </c:strRef>
          </c:cat>
          <c:val>
            <c:numRef>
              <c:f>'Dashboard Geral'!$H$26:$H$36</c:f>
              <c:numCache/>
            </c:numRef>
          </c:val>
        </c:ser>
        <c:ser>
          <c:idx val="1"/>
          <c:order val="1"/>
          <c:tx>
            <c:strRef>
              <c:f>'Dashboard Geral'!$I$25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'Dashboard Geral'!$G$26:$G$36</c:f>
            </c:strRef>
          </c:cat>
          <c:val>
            <c:numRef>
              <c:f>'Dashboard Geral'!$I$26:$I$36</c:f>
              <c:numCache/>
            </c:numRef>
          </c:val>
        </c:ser>
        <c:axId val="1526621304"/>
        <c:axId val="994530961"/>
      </c:barChart>
      <c:catAx>
        <c:axId val="152662130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530961"/>
      </c:catAx>
      <c:valAx>
        <c:axId val="99453096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62130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Baixo, Médio, Alto e Não Identificado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'Dashboard Geral'!$C$55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'Dashboard Geral'!$B$56:$B$66</c:f>
            </c:strRef>
          </c:cat>
          <c:val>
            <c:numRef>
              <c:f>'Dashboard Geral'!$C$56:$C$66</c:f>
              <c:numCache/>
            </c:numRef>
          </c:val>
        </c:ser>
        <c:ser>
          <c:idx val="1"/>
          <c:order val="1"/>
          <c:tx>
            <c:strRef>
              <c:f>'Dashboard Geral'!$D$55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'Dashboard Geral'!$B$56:$B$66</c:f>
            </c:strRef>
          </c:cat>
          <c:val>
            <c:numRef>
              <c:f>'Dashboard Geral'!$D$56:$D$66</c:f>
              <c:numCache/>
            </c:numRef>
          </c:val>
        </c:ser>
        <c:ser>
          <c:idx val="2"/>
          <c:order val="2"/>
          <c:tx>
            <c:strRef>
              <c:f>'Dashboard Geral'!$E$55</c:f>
            </c:strRef>
          </c:tx>
          <c:spPr>
            <a:solidFill>
              <a:srgbClr val="FBBC04">
                <a:alpha val="30000"/>
              </a:srgbClr>
            </a:solidFill>
            <a:ln cmpd="sng">
              <a:solidFill>
                <a:srgbClr val="FBBC04"/>
              </a:solidFill>
            </a:ln>
          </c:spPr>
          <c:cat>
            <c:strRef>
              <c:f>'Dashboard Geral'!$B$56:$B$66</c:f>
            </c:strRef>
          </c:cat>
          <c:val>
            <c:numRef>
              <c:f>'Dashboard Geral'!$E$56:$E$66</c:f>
              <c:numCache/>
            </c:numRef>
          </c:val>
        </c:ser>
        <c:ser>
          <c:idx val="3"/>
          <c:order val="3"/>
          <c:tx>
            <c:strRef>
              <c:f>'Dashboard Geral'!$F$55</c:f>
            </c:strRef>
          </c:tx>
          <c:spPr>
            <a:solidFill>
              <a:srgbClr val="34A853">
                <a:alpha val="30000"/>
              </a:srgbClr>
            </a:solidFill>
            <a:ln cmpd="sng">
              <a:solidFill>
                <a:srgbClr val="34A853"/>
              </a:solidFill>
            </a:ln>
          </c:spPr>
          <c:cat>
            <c:strRef>
              <c:f>'Dashboard Geral'!$B$56:$B$66</c:f>
            </c:strRef>
          </c:cat>
          <c:val>
            <c:numRef>
              <c:f>'Dashboard Geral'!$F$56:$F$66</c:f>
              <c:numCache/>
            </c:numRef>
          </c:val>
        </c:ser>
        <c:axId val="1628081543"/>
        <c:axId val="602487245"/>
      </c:areaChart>
      <c:catAx>
        <c:axId val="1628081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Área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2487245"/>
      </c:catAx>
      <c:valAx>
        <c:axId val="602487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80815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Classificações por Área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'Dash_Áreas'!$C$3</c:f>
            </c:strRef>
          </c:tx>
          <c:dPt>
            <c:idx val="0"/>
            <c:spPr>
              <a:solidFill>
                <a:srgbClr val="28A745"/>
              </a:solidFill>
            </c:spPr>
          </c:dPt>
          <c:dPt>
            <c:idx val="1"/>
            <c:spPr>
              <a:solidFill>
                <a:srgbClr val="FFFF00"/>
              </a:solidFill>
            </c:spPr>
          </c:dPt>
          <c:dPt>
            <c:idx val="2"/>
            <c:spPr>
              <a:solidFill>
                <a:srgbClr val="DC3545"/>
              </a:solidFill>
            </c:spPr>
          </c:dPt>
          <c:dPt>
            <c:idx val="3"/>
            <c:spPr>
              <a:solidFill>
                <a:srgbClr val="CCCCC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'Dash_Áreas'!$B$4:$B$7</c:f>
            </c:strRef>
          </c:cat>
          <c:val>
            <c:numRef>
              <c:f>'Dash_Áreas'!$C$4:$C$7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1" sz="1600">
              <a:solidFill>
                <a:srgbClr val="32327F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Envio Interno e Externo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'Dash_Áreas'!$C$18</c:f>
            </c:strRef>
          </c:tx>
          <c:spPr>
            <a:solidFill>
              <a:srgbClr val="32327F"/>
            </a:solidFill>
            <a:ln cmpd="sng">
              <a:solidFill>
                <a:srgbClr val="000000"/>
              </a:solidFill>
            </a:ln>
          </c:spPr>
          <c:dPt>
            <c:idx val="1"/>
            <c:spPr>
              <a:solidFill>
                <a:srgbClr val="3A63B8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'Dash_Áreas'!$B$19:$B$20</c:f>
            </c:strRef>
          </c:cat>
          <c:val>
            <c:numRef>
              <c:f>'Dash_Áreas'!$C$19:$C$20</c:f>
              <c:numCache/>
            </c:numRef>
          </c:val>
        </c:ser>
        <c:axId val="473568935"/>
        <c:axId val="170074731"/>
      </c:barChart>
      <c:catAx>
        <c:axId val="473568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74731"/>
      </c:catAx>
      <c:valAx>
        <c:axId val="170074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35689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Processos x Riscos Identificados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'Dash_Áreas'!$B$23</c:f>
            </c:strRef>
          </c:tx>
          <c:spPr>
            <a:solidFill>
              <a:srgbClr val="32327F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32327F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'Dash_Áreas'!$C$22</c:f>
            </c:strRef>
          </c:cat>
          <c:val>
            <c:numRef>
              <c:f>'Dash_Áreas'!$C$23</c:f>
              <c:numCache/>
            </c:numRef>
          </c:val>
        </c:ser>
        <c:ser>
          <c:idx val="1"/>
          <c:order val="1"/>
          <c:tx>
            <c:strRef>
              <c:f>'Dash_Áreas'!$B$24</c:f>
            </c:strRef>
          </c:tx>
          <c:spPr>
            <a:solidFill>
              <a:srgbClr val="3A63B8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'Dash_Áreas'!$C$22</c:f>
            </c:strRef>
          </c:cat>
          <c:val>
            <c:numRef>
              <c:f>'Dash_Áreas'!$C$24</c:f>
              <c:numCache/>
            </c:numRef>
          </c:val>
        </c:ser>
        <c:axId val="2114728184"/>
        <c:axId val="1520368937"/>
      </c:barChart>
      <c:catAx>
        <c:axId val="2114728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368937"/>
      </c:catAx>
      <c:valAx>
        <c:axId val="15203689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7281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Coleta de Dados de Vulneráveis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'Dash_Áreas'!$C$26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'Dash_Áreas'!$B$27:$B$29</c:f>
            </c:strRef>
          </c:cat>
          <c:val>
            <c:numRef>
              <c:f>'Dash_Áreas'!$C$27:$C$29</c:f>
              <c:numCache/>
            </c:numRef>
          </c:val>
        </c:ser>
        <c:axId val="2005044657"/>
        <c:axId val="1977425185"/>
      </c:barChart>
      <c:catAx>
        <c:axId val="2005044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425185"/>
      </c:catAx>
      <c:valAx>
        <c:axId val="1977425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044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Base Legal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'Dash_Escritório'!$G$9</c:f>
            </c:strRef>
          </c:tx>
          <c:cat>
            <c:strRef>
              <c:f>'Dash_Escritório'!$F$10:$F$16</c:f>
            </c:strRef>
          </c:cat>
          <c:val>
            <c:numRef>
              <c:f>'Dash_Escritório'!$G$10:$G$16</c:f>
              <c:numCache/>
            </c:numRef>
          </c:val>
        </c:ser>
        <c:axId val="638052896"/>
        <c:axId val="547176295"/>
      </c:barChart>
      <c:catAx>
        <c:axId val="63805289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7176295"/>
      </c:catAx>
      <c:valAx>
        <c:axId val="547176295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63805289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Tipo de Agente de Tratamento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'Dash_Escritório'!$B$18</c:f>
            </c:strRef>
          </c:tx>
          <c:cat>
            <c:strRef>
              <c:f>'Dash_Escritório'!$A$19:$A$20</c:f>
            </c:strRef>
          </c:cat>
          <c:val>
            <c:numRef>
              <c:f>'Dash_Escritório'!$B$19:$B$20</c:f>
              <c:numCache/>
            </c:numRef>
          </c:val>
        </c:ser>
        <c:axId val="242935873"/>
        <c:axId val="145041132"/>
      </c:barChart>
      <c:catAx>
        <c:axId val="24293587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041132"/>
      </c:catAx>
      <c:valAx>
        <c:axId val="145041132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24293587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Classificação de Riscos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'Dash_Escritório'!$G$18</c:f>
            </c:strRef>
          </c:tx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'Dash_Escritório'!$F$19:$F$31</c:f>
            </c:strRef>
          </c:cat>
          <c:val>
            <c:numRef>
              <c:f>'Dash_Escritório'!$G$19:$G$31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1" sz="1600">
              <a:solidFill>
                <a:srgbClr val="32327F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Quantidade de Vulneráveis e Total de Processos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'Dash_Escritório'!$M$13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'Dash_Escritório'!$L$14:$L$16</c:f>
            </c:strRef>
          </c:cat>
          <c:val>
            <c:numRef>
              <c:f>'Dash_Escritório'!$M$14:$M$16</c:f>
              <c:numCache/>
            </c:numRef>
          </c:val>
        </c:ser>
        <c:ser>
          <c:idx val="1"/>
          <c:order val="1"/>
          <c:tx>
            <c:strRef>
              <c:f>'Dash_Escritório'!$N$13</c:f>
            </c:strRef>
          </c:tx>
          <c:spPr>
            <a:solidFill>
              <a:srgbClr val="32327F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'Dash_Escritório'!$L$14:$L$16</c:f>
            </c:strRef>
          </c:cat>
          <c:val>
            <c:numRef>
              <c:f>'Dash_Escritório'!$N$14:$N$16</c:f>
              <c:numCache/>
            </c:numRef>
          </c:val>
        </c:ser>
        <c:axId val="23510867"/>
        <c:axId val="1524418416"/>
      </c:barChart>
      <c:catAx>
        <c:axId val="235108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Vulneráveis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4418416"/>
      </c:catAx>
      <c:valAx>
        <c:axId val="15244184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5108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32327F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'Dashboard Geral'!$K$40:$M$40</c:f>
            </c:strRef>
          </c:cat>
          <c:val>
            <c:numRef>
              <c:f>'Dashboard Geral'!$K$41:$M$41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1" sz="1400">
              <a:solidFill>
                <a:srgbClr val="32327F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<Relationship Id="rId5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960</xdr:row>
      <xdr:rowOff>38100</xdr:rowOff>
    </xdr:from>
    <xdr:ext cx="5715000" cy="3533775"/>
    <xdr:pic>
      <xdr:nvPicPr>
        <xdr:cNvPr id="1805262992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152400</xdr:colOff>
      <xdr:row>5</xdr:row>
      <xdr:rowOff>114300</xdr:rowOff>
    </xdr:from>
    <xdr:ext cx="6934200" cy="42862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228600</xdr:colOff>
      <xdr:row>14</xdr:row>
      <xdr:rowOff>19050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228600</xdr:colOff>
      <xdr:row>1</xdr:row>
      <xdr:rowOff>0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19</xdr:col>
      <xdr:colOff>371475</xdr:colOff>
      <xdr:row>1</xdr:row>
      <xdr:rowOff>0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19</xdr:col>
      <xdr:colOff>371475</xdr:colOff>
      <xdr:row>14</xdr:row>
      <xdr:rowOff>19050</xdr:rowOff>
    </xdr:from>
    <xdr:ext cx="6334125" cy="3914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552450</xdr:colOff>
      <xdr:row>0</xdr:row>
      <xdr:rowOff>85725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304800</xdr:colOff>
      <xdr:row>0</xdr:row>
      <xdr:rowOff>85725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552450</xdr:colOff>
      <xdr:row>12</xdr:row>
      <xdr:rowOff>542925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304800</xdr:colOff>
      <xdr:row>12</xdr:row>
      <xdr:rowOff>542925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</xdr:row>
      <xdr:rowOff>28575</xdr:rowOff>
    </xdr:from>
    <xdr:ext cx="5715000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590550</xdr:colOff>
      <xdr:row>3</xdr:row>
      <xdr:rowOff>28575</xdr:rowOff>
    </xdr:from>
    <xdr:ext cx="5715000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590550</xdr:colOff>
      <xdr:row>21</xdr:row>
      <xdr:rowOff>28575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21</xdr:row>
      <xdr:rowOff>28575</xdr:rowOff>
    </xdr:from>
    <xdr:ext cx="5715000" cy="3533775"/>
    <xdr:graphicFrame>
      <xdr:nvGraphicFramePr>
        <xdr:cNvPr id="14" name="Chart 1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9</xdr:col>
      <xdr:colOff>3067050</xdr:colOff>
      <xdr:row>3</xdr:row>
      <xdr:rowOff>28575</xdr:rowOff>
    </xdr:from>
    <xdr:ext cx="5715000" cy="3533775"/>
    <xdr:graphicFrame>
      <xdr:nvGraphicFramePr>
        <xdr:cNvPr id="15" name="Chart 1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AK159" displayName="REGISTRO_UNIFICADO" name="REGISTRO_UNIFICADO" id="1">
  <tableColumns count="37">
    <tableColumn name="STATUS" id="1"/>
    <tableColumn name="ÁREA" id="2"/>
    <tableColumn name="ID" id="3"/>
    <tableColumn name="PROCESSO" id="4"/>
    <tableColumn name="DEPTO" id="5"/>
    <tableColumn name="FINALIDADE/JUSTIFICATIVA" id="6"/>
    <tableColumn name="DADOS TRATADOS" id="7"/>
    <tableColumn name="Compartilha/envia para outra área?*" id="8"/>
    <tableColumn name="Quais áreas? (se Sim)" id="9"/>
    <tableColumn name="Compartilha com alguém FORA da Empresa?*" id="10"/>
    <tableColumn name="Quem são? (se Sim)" id="11"/>
    <tableColumn name="Sistemas/Plataformas utilizadas*" id="12"/>
    <tableColumn name="ARMAZENAMENTO" id="13"/>
    <tableColumn name="Como chega até você?" id="14"/>
    <tableColumn name="Responsável pelo preenchimento" id="15"/>
    <tableColumn name="Comentários (Opcional)" id="16"/>
    <tableColumn name="*BASE LEGAL_x000a_(Art. 7 - 11 LGPD)" id="17"/>
    <tableColumn name="*TIPO DE AGENTE DE TRATAMENTO" id="18"/>
    <tableColumn name="*TIPO DE DADO" id="19"/>
    <tableColumn name="*TITULARES VULNERÁVEIS" id="20"/>
    <tableColumn name="*TRANFERÊNCIA_x000a_INTERNACIONAL" id="21"/>
    <tableColumn name="*RETENÇÃO E DESCARTE" id="22"/>
    <tableColumn name="*OBSERVAÇÕES_x000a_RETENÇÃO E_x000a_DESCARTE" id="23"/>
    <tableColumn name="RISCOS IDENTIFICADOS" id="24"/>
    <tableColumn name="*CLASSIFICAÇÃO DE RISCO" id="25"/>
    <tableColumn name="OBSERVAÇÕES_x000a_RISCOS IDENTIFICADOS" id="26"/>
    <tableColumn name="DÚVIDAS_x000a_ESCRITÓRIO" id="27"/>
    <tableColumn name="RESPOSTA_x000a_FCAV" id="28"/>
    <tableColumn name="PLANO DE AÇÃO" id="29"/>
    <tableColumn name="OBSERVAÇÕES_x000a_ESCRITÓRIO" id="30"/>
    <tableColumn name="RELATÓRIOS_x000a_AÇÕES COMPLEMENTARES" id="31"/>
    <tableColumn name="DATA ÚLTIMA ANÁLISE" id="32"/>
    <tableColumn name="OBSERVAÇÕES FCAV" id="33"/>
    <tableColumn name="% Preenchimento Área" id="34"/>
    <tableColumn name="% Preenchimento Escritório" id="35"/>
    <tableColumn name="% Preenchimento LGPD" id="36"/>
    <tableColumn name="% Preenchimento Geral" id="37"/>
  </tableColumns>
  <tableStyleInfo name="REGISTRO UNIFICADO-style" showColumnStripes="0" showFirstColumn="1" showLastColumn="1" showRowStripes="1"/>
</table>
</file>

<file path=xl/tables/table2.xml><?xml version="1.0" encoding="utf-8"?>
<table xmlns="http://schemas.openxmlformats.org/spreadsheetml/2006/main" ref="A7:H18" displayName="Processos_por_Área" name="Processos_por_Área" id="2">
  <tableColumns count="8">
    <tableColumn name="Column 8" id="1"/>
    <tableColumn name="Área" id="2"/>
    <tableColumn name="Qtd. Processos" id="3"/>
    <tableColumn name="% Médio de Preenchimento Área" id="4"/>
    <tableColumn name="% Médio de Preenchimento Escritório" id="5"/>
    <tableColumn name="% Médio de Preenchimento Privacidade" id="6"/>
    <tableColumn name="% Médio de Preenchimento Geral" id="7"/>
    <tableColumn name="Status Visual" id="8"/>
  </tableColumns>
  <tableStyleInfo name="Dashboard G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19.38"/>
    <col customWidth="1" min="2" max="2" width="19.25"/>
    <col customWidth="1" min="3" max="3" width="11.5"/>
    <col customWidth="1" min="4" max="4" width="42.5"/>
    <col customWidth="1" min="5" max="5" width="23.0"/>
    <col customWidth="1" min="6" max="6" width="27.63"/>
    <col customWidth="1" min="7" max="7" width="32.38"/>
    <col customWidth="1" min="8" max="8" width="21.5"/>
    <col customWidth="1" min="9" max="9" width="25.38"/>
    <col customWidth="1" min="10" max="10" width="20.13"/>
    <col customWidth="1" min="11" max="11" width="25.13"/>
    <col customWidth="1" min="12" max="12" width="33.75"/>
    <col customWidth="1" min="13" max="13" width="24.88"/>
    <col customWidth="1" min="14" max="14" width="25.75"/>
    <col customWidth="1" min="15" max="15" width="26.0"/>
    <col customWidth="1" min="16" max="16" width="31.88"/>
    <col customWidth="1" min="17" max="17" width="23.0"/>
    <col customWidth="1" min="18" max="18" width="26.5"/>
    <col customWidth="1" min="19" max="19" width="22.88"/>
    <col customWidth="1" min="20" max="20" width="23.63"/>
    <col customWidth="1" min="21" max="21" width="19.25"/>
    <col customWidth="1" min="22" max="23" width="19.88"/>
    <col customWidth="1" min="24" max="24" width="25.25"/>
    <col customWidth="1" min="25" max="26" width="24.5"/>
    <col customWidth="1" min="27" max="27" width="22.25"/>
    <col customWidth="1" min="28" max="28" width="25.88"/>
    <col customWidth="1" min="29" max="30" width="22.5"/>
    <col customWidth="1" min="31" max="31" width="31.13"/>
    <col customWidth="1" min="32" max="33" width="26.75"/>
    <col customWidth="1" min="34" max="34" width="21.75"/>
    <col customWidth="1" min="35" max="35" width="20.13"/>
    <col customWidth="1" min="36" max="36" width="18.63"/>
    <col customWidth="1" min="37" max="37" width="15.38"/>
  </cols>
  <sheetData>
    <row r="1">
      <c r="A1" s="1"/>
      <c r="B1" s="1"/>
      <c r="C1" s="1"/>
      <c r="D1" s="1"/>
      <c r="E1" s="1"/>
      <c r="F1" s="1"/>
      <c r="G1" s="1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3"/>
      <c r="AI1" s="3"/>
      <c r="AJ1" s="3"/>
      <c r="AK1" s="3"/>
    </row>
    <row r="2">
      <c r="A2" s="1"/>
      <c r="B2" s="1"/>
      <c r="C2" s="1"/>
      <c r="D2" s="4" t="s">
        <v>0</v>
      </c>
      <c r="E2" s="5" t="s">
        <v>1</v>
      </c>
      <c r="Q2" s="6" t="s">
        <v>2</v>
      </c>
      <c r="AE2" s="5" t="s">
        <v>3</v>
      </c>
      <c r="AH2" s="7" t="s">
        <v>4</v>
      </c>
    </row>
    <row r="3" ht="22.5" customHeight="1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12</v>
      </c>
      <c r="I3" s="8" t="s">
        <v>13</v>
      </c>
      <c r="J3" s="8" t="s">
        <v>14</v>
      </c>
      <c r="K3" s="8" t="s">
        <v>15</v>
      </c>
      <c r="L3" s="8" t="s">
        <v>16</v>
      </c>
      <c r="M3" s="8" t="s">
        <v>17</v>
      </c>
      <c r="N3" s="8" t="s">
        <v>18</v>
      </c>
      <c r="O3" s="8" t="s">
        <v>19</v>
      </c>
      <c r="P3" s="8" t="s">
        <v>20</v>
      </c>
      <c r="Q3" s="9" t="s">
        <v>21</v>
      </c>
      <c r="R3" s="9" t="s">
        <v>22</v>
      </c>
      <c r="S3" s="9" t="s">
        <v>23</v>
      </c>
      <c r="T3" s="10" t="s">
        <v>24</v>
      </c>
      <c r="U3" s="11" t="s">
        <v>25</v>
      </c>
      <c r="V3" s="12" t="s">
        <v>26</v>
      </c>
      <c r="W3" s="12" t="s">
        <v>27</v>
      </c>
      <c r="X3" s="9" t="s">
        <v>28</v>
      </c>
      <c r="Y3" s="9" t="s">
        <v>29</v>
      </c>
      <c r="Z3" s="9" t="s">
        <v>30</v>
      </c>
      <c r="AA3" s="13" t="s">
        <v>31</v>
      </c>
      <c r="AB3" s="8" t="s">
        <v>32</v>
      </c>
      <c r="AC3" s="9" t="s">
        <v>33</v>
      </c>
      <c r="AD3" s="9" t="s">
        <v>34</v>
      </c>
      <c r="AE3" s="8" t="s">
        <v>35</v>
      </c>
      <c r="AF3" s="8" t="s">
        <v>36</v>
      </c>
      <c r="AG3" s="8" t="s">
        <v>37</v>
      </c>
      <c r="AH3" s="14" t="s">
        <v>38</v>
      </c>
      <c r="AI3" s="14" t="s">
        <v>39</v>
      </c>
      <c r="AJ3" s="14" t="s">
        <v>40</v>
      </c>
      <c r="AK3" s="14" t="s">
        <v>41</v>
      </c>
    </row>
    <row r="4" ht="22.5" customHeight="1">
      <c r="A4" s="15"/>
      <c r="B4" s="16"/>
      <c r="C4" s="17"/>
      <c r="D4" s="17"/>
      <c r="E4" s="18"/>
      <c r="F4" s="17"/>
      <c r="G4" s="17"/>
      <c r="H4" s="16"/>
      <c r="I4" s="17"/>
      <c r="J4" s="16"/>
      <c r="K4" s="17"/>
      <c r="L4" s="17"/>
      <c r="M4" s="17"/>
      <c r="N4" s="17"/>
      <c r="O4" s="17"/>
      <c r="P4" s="19"/>
      <c r="Q4" s="16"/>
      <c r="R4" s="16"/>
      <c r="S4" s="16"/>
      <c r="T4" s="18"/>
      <c r="U4" s="16"/>
      <c r="V4" s="16"/>
      <c r="W4" s="17"/>
      <c r="X4" s="18"/>
      <c r="Y4" s="16"/>
      <c r="Z4" s="20"/>
      <c r="AA4" s="18"/>
      <c r="AB4" s="17"/>
      <c r="AC4" s="21"/>
      <c r="AD4" s="18"/>
      <c r="AE4" s="22"/>
      <c r="AF4" s="23"/>
      <c r="AG4" s="23"/>
      <c r="AH4" s="24" t="str">
        <f t="array" ref="AH4:AH990">IF(A4:A990="", "", 
   IF(A4:A990="Duplicado", "-", 
    (
     (LEN(D4:D990)&gt;0) + 
     (LEN(F4:F990)&gt;0) + 
     (LEN(G4:G990)&gt;0) + 
     (LEN(H4:H990)&gt;0) + 
     IF(H4:H990="Sim", (LEN(I4:I990)&gt;0), 1) + 
     (LEN(J4:J990)&gt;0) + 
     IF(J4:J990="Sim", (LEN(K4:K990)&gt;0), 1) + 
     (LEN(L4:L990)&gt;0) + 
     (LEN(M4:M990)&gt;0) + 
     (LEN(N4:N990)&gt;0) + 
     (LEN(O4:O990)&gt;0)
    ) / 11
   )
  )</f>
        <v/>
      </c>
      <c r="AI4" s="25" t="str">
        <f t="array" ref="AI4:AI990">IF(A4:A990="", "",
   IF(A4:A990="Duplicado", "-",
    (
     (LEN(Q4:Q990)&gt;0) +
     (LEN(R4:R990)&gt;0) +
     (LEN(S4:S990)&gt;0) +
     (LEN(T4:T990)&gt;0) +
     (LEN(U4:U990)&gt;0) +
     (LEN(V4:V990)&gt;0) +
     (LEN(W4:W990)&gt;0) +
     (LEN(Y4:Y990)&gt;0)
    ) / 8
   )
  )</f>
        <v/>
      </c>
      <c r="AJ4" s="26" t="str">
        <f t="array" ref="AJ4:AJ990">IF(A4:A990="", "", 
   IF(A4:A990="Duplicado", "-", 
    (
     (LEN(AE4:AE990)&gt;0) + 
     (LEN(AF4:AF990)&gt;0)
    ) / 2
   )
  )</f>
        <v/>
      </c>
      <c r="AK4" s="25" t="str">
        <f t="array" ref="AK4:AK990">IF(A4:A990="", "", 
   IF(A4:A990="Duplicado", "-", 
    (
     (LEN(D4:D990)&gt;0) + 
     (LEN(F4:F990)&gt;0) + 
     (LEN(G4:G990)&gt;0) + 
     (LEN(H4:H990)&gt;0) + 
     IF(H4:H990="Sim", (LEN(I4:I990)&gt;0), 1) + 
     (LEN(J4:J990)&gt;0) + 
     IF(J4:J990="Sim", (LEN(K4:K990)&gt;0), 1) + 
     (LEN(L4:L990)&gt;0) + 
     (LEN(M4:M990)&gt;0) + 
     (LEN(N4:N990)&gt;0) + 
     (LEN(O4:O990)&gt;0) + 
     (LEN(Q4:Q990)&gt;0) + 
     (LEN(R4:R990)&gt;0) + 
     (LEN(S4:S990)&gt;0) + 
     (LEN(T4:T990)&gt;0) + 
     (LEN(U4:U990)&gt;0) + 
     (LEN(V4:V990)&gt;0) + 
     (LEN(W4:W990)&gt;0) + 
     (LEN(Y4:Y990)&gt;0) + 
     (LEN(AE4:AE990)&gt;0) + 
     (LEN(AF4:AF990)&gt;0)
    ) / 21
   )
  )</f>
        <v/>
      </c>
    </row>
    <row r="5" ht="22.5" customHeight="1">
      <c r="A5" s="15"/>
      <c r="B5" s="16"/>
      <c r="C5" s="17"/>
      <c r="D5" s="17"/>
      <c r="E5" s="18"/>
      <c r="F5" s="17"/>
      <c r="G5" s="17"/>
      <c r="H5" s="16"/>
      <c r="I5" s="17"/>
      <c r="J5" s="16"/>
      <c r="K5" s="17"/>
      <c r="L5" s="17"/>
      <c r="M5" s="17"/>
      <c r="N5" s="17"/>
      <c r="O5" s="17"/>
      <c r="P5" s="19"/>
      <c r="Q5" s="16"/>
      <c r="R5" s="16"/>
      <c r="S5" s="16"/>
      <c r="T5" s="18"/>
      <c r="U5" s="16"/>
      <c r="V5" s="16"/>
      <c r="W5" s="17"/>
      <c r="X5" s="17"/>
      <c r="Y5" s="16"/>
      <c r="Z5" s="18"/>
      <c r="AA5" s="18"/>
      <c r="AB5" s="19"/>
      <c r="AC5" s="17"/>
      <c r="AD5" s="20"/>
      <c r="AE5" s="22"/>
      <c r="AF5" s="23"/>
      <c r="AG5" s="23"/>
      <c r="AH5" s="24" t="s">
        <v>42</v>
      </c>
      <c r="AI5" s="25" t="s">
        <v>42</v>
      </c>
      <c r="AJ5" s="26" t="s">
        <v>42</v>
      </c>
      <c r="AK5" s="25" t="s">
        <v>42</v>
      </c>
    </row>
    <row r="6" ht="22.5" customHeight="1">
      <c r="A6" s="15"/>
      <c r="B6" s="16"/>
      <c r="C6" s="17"/>
      <c r="D6" s="17"/>
      <c r="E6" s="18"/>
      <c r="F6" s="17"/>
      <c r="G6" s="17"/>
      <c r="H6" s="16"/>
      <c r="I6" s="17"/>
      <c r="J6" s="16"/>
      <c r="K6" s="17"/>
      <c r="L6" s="17"/>
      <c r="M6" s="17"/>
      <c r="N6" s="17"/>
      <c r="O6" s="17"/>
      <c r="P6" s="19"/>
      <c r="Q6" s="16"/>
      <c r="R6" s="16"/>
      <c r="S6" s="16"/>
      <c r="T6" s="18"/>
      <c r="U6" s="16"/>
      <c r="V6" s="16"/>
      <c r="W6" s="17"/>
      <c r="X6" s="17"/>
      <c r="Y6" s="16"/>
      <c r="Z6" s="18"/>
      <c r="AA6" s="18"/>
      <c r="AB6" s="19"/>
      <c r="AC6" s="17"/>
      <c r="AD6" s="20"/>
      <c r="AE6" s="22"/>
      <c r="AF6" s="23"/>
      <c r="AG6" s="23"/>
      <c r="AH6" s="24" t="s">
        <v>42</v>
      </c>
      <c r="AI6" s="25" t="s">
        <v>42</v>
      </c>
      <c r="AJ6" s="26" t="s">
        <v>42</v>
      </c>
      <c r="AK6" s="25" t="s">
        <v>42</v>
      </c>
    </row>
    <row r="7" ht="22.5" customHeight="1">
      <c r="A7" s="15"/>
      <c r="B7" s="16"/>
      <c r="C7" s="17"/>
      <c r="D7" s="17"/>
      <c r="E7" s="18"/>
      <c r="F7" s="17"/>
      <c r="G7" s="17"/>
      <c r="H7" s="16"/>
      <c r="I7" s="17"/>
      <c r="J7" s="16"/>
      <c r="K7" s="17"/>
      <c r="L7" s="17"/>
      <c r="M7" s="17"/>
      <c r="N7" s="17"/>
      <c r="O7" s="17"/>
      <c r="P7" s="19"/>
      <c r="Q7" s="16"/>
      <c r="R7" s="16"/>
      <c r="S7" s="16"/>
      <c r="T7" s="18"/>
      <c r="U7" s="16"/>
      <c r="V7" s="16"/>
      <c r="W7" s="17"/>
      <c r="X7" s="21"/>
      <c r="Y7" s="16"/>
      <c r="Z7" s="18"/>
      <c r="AA7" s="18"/>
      <c r="AB7" s="19"/>
      <c r="AC7" s="17"/>
      <c r="AD7" s="20"/>
      <c r="AE7" s="22"/>
      <c r="AF7" s="23"/>
      <c r="AG7" s="23"/>
      <c r="AH7" s="24" t="s">
        <v>42</v>
      </c>
      <c r="AI7" s="25" t="s">
        <v>42</v>
      </c>
      <c r="AJ7" s="26" t="s">
        <v>42</v>
      </c>
      <c r="AK7" s="25" t="s">
        <v>42</v>
      </c>
    </row>
    <row r="8" ht="22.5" customHeight="1">
      <c r="A8" s="15"/>
      <c r="B8" s="16"/>
      <c r="C8" s="17"/>
      <c r="D8" s="17"/>
      <c r="E8" s="18"/>
      <c r="F8" s="17"/>
      <c r="G8" s="17"/>
      <c r="H8" s="16"/>
      <c r="I8" s="17"/>
      <c r="J8" s="16"/>
      <c r="K8" s="17"/>
      <c r="L8" s="17"/>
      <c r="M8" s="17"/>
      <c r="N8" s="17"/>
      <c r="O8" s="17"/>
      <c r="P8" s="19"/>
      <c r="Q8" s="16"/>
      <c r="R8" s="16"/>
      <c r="S8" s="16"/>
      <c r="T8" s="18"/>
      <c r="U8" s="16"/>
      <c r="V8" s="16"/>
      <c r="W8" s="17"/>
      <c r="X8" s="21"/>
      <c r="Y8" s="16"/>
      <c r="Z8" s="18"/>
      <c r="AA8" s="18"/>
      <c r="AB8" s="19"/>
      <c r="AC8" s="17"/>
      <c r="AD8" s="20"/>
      <c r="AE8" s="22"/>
      <c r="AF8" s="23"/>
      <c r="AG8" s="23"/>
      <c r="AH8" s="24" t="s">
        <v>42</v>
      </c>
      <c r="AI8" s="25" t="s">
        <v>42</v>
      </c>
      <c r="AJ8" s="26" t="s">
        <v>42</v>
      </c>
      <c r="AK8" s="25" t="s">
        <v>42</v>
      </c>
    </row>
    <row r="9" ht="22.5" customHeight="1">
      <c r="A9" s="15"/>
      <c r="B9" s="16"/>
      <c r="C9" s="17"/>
      <c r="D9" s="17"/>
      <c r="E9" s="18"/>
      <c r="F9" s="17"/>
      <c r="G9" s="17"/>
      <c r="H9" s="16"/>
      <c r="I9" s="17"/>
      <c r="J9" s="16"/>
      <c r="K9" s="17"/>
      <c r="L9" s="17"/>
      <c r="M9" s="17"/>
      <c r="N9" s="17"/>
      <c r="O9" s="17"/>
      <c r="P9" s="19"/>
      <c r="Q9" s="16"/>
      <c r="R9" s="16"/>
      <c r="S9" s="16"/>
      <c r="T9" s="18"/>
      <c r="U9" s="16"/>
      <c r="V9" s="16"/>
      <c r="W9" s="17"/>
      <c r="X9" s="17"/>
      <c r="Y9" s="16"/>
      <c r="Z9" s="18"/>
      <c r="AA9" s="18"/>
      <c r="AB9" s="19"/>
      <c r="AC9" s="17"/>
      <c r="AD9" s="20"/>
      <c r="AE9" s="22"/>
      <c r="AF9" s="23"/>
      <c r="AG9" s="23"/>
      <c r="AH9" s="24" t="s">
        <v>42</v>
      </c>
      <c r="AI9" s="25" t="s">
        <v>42</v>
      </c>
      <c r="AJ9" s="26" t="s">
        <v>42</v>
      </c>
      <c r="AK9" s="25" t="s">
        <v>42</v>
      </c>
    </row>
    <row r="10" ht="22.5" customHeight="1">
      <c r="A10" s="15"/>
      <c r="B10" s="16"/>
      <c r="C10" s="17"/>
      <c r="D10" s="17"/>
      <c r="E10" s="18"/>
      <c r="F10" s="17"/>
      <c r="G10" s="17"/>
      <c r="H10" s="16"/>
      <c r="I10" s="17"/>
      <c r="J10" s="16"/>
      <c r="K10" s="19"/>
      <c r="L10" s="17"/>
      <c r="M10" s="17"/>
      <c r="N10" s="17"/>
      <c r="O10" s="17"/>
      <c r="P10" s="19"/>
      <c r="Q10" s="16"/>
      <c r="R10" s="16"/>
      <c r="S10" s="16"/>
      <c r="T10" s="18"/>
      <c r="U10" s="16"/>
      <c r="V10" s="16"/>
      <c r="W10" s="17"/>
      <c r="X10" s="17"/>
      <c r="Y10" s="16"/>
      <c r="Z10" s="18"/>
      <c r="AA10" s="18"/>
      <c r="AB10" s="17"/>
      <c r="AC10" s="17"/>
      <c r="AD10" s="18"/>
      <c r="AE10" s="22"/>
      <c r="AF10" s="23"/>
      <c r="AG10" s="23"/>
      <c r="AH10" s="24" t="s">
        <v>42</v>
      </c>
      <c r="AI10" s="25" t="s">
        <v>42</v>
      </c>
      <c r="AJ10" s="26" t="s">
        <v>42</v>
      </c>
      <c r="AK10" s="25" t="s">
        <v>42</v>
      </c>
    </row>
    <row r="11" ht="22.5" customHeight="1">
      <c r="A11" s="15"/>
      <c r="B11" s="16"/>
      <c r="C11" s="17"/>
      <c r="D11" s="17"/>
      <c r="E11" s="18"/>
      <c r="F11" s="17"/>
      <c r="G11" s="17"/>
      <c r="H11" s="16"/>
      <c r="I11" s="17"/>
      <c r="J11" s="16"/>
      <c r="K11" s="19"/>
      <c r="L11" s="17"/>
      <c r="M11" s="17"/>
      <c r="N11" s="17"/>
      <c r="O11" s="17"/>
      <c r="P11" s="17"/>
      <c r="Q11" s="16"/>
      <c r="R11" s="16"/>
      <c r="S11" s="16"/>
      <c r="T11" s="18"/>
      <c r="U11" s="16"/>
      <c r="V11" s="16"/>
      <c r="W11" s="17"/>
      <c r="X11" s="17"/>
      <c r="Y11" s="16"/>
      <c r="Z11" s="18"/>
      <c r="AA11" s="18"/>
      <c r="AB11" s="19"/>
      <c r="AC11" s="17"/>
      <c r="AD11" s="20"/>
      <c r="AE11" s="22"/>
      <c r="AF11" s="23"/>
      <c r="AG11" s="23"/>
      <c r="AH11" s="24" t="s">
        <v>42</v>
      </c>
      <c r="AI11" s="25" t="s">
        <v>42</v>
      </c>
      <c r="AJ11" s="26" t="s">
        <v>42</v>
      </c>
      <c r="AK11" s="25" t="s">
        <v>42</v>
      </c>
    </row>
    <row r="12" ht="22.5" customHeight="1">
      <c r="A12" s="15"/>
      <c r="B12" s="16"/>
      <c r="C12" s="17"/>
      <c r="D12" s="17"/>
      <c r="E12" s="18"/>
      <c r="F12" s="17"/>
      <c r="G12" s="17"/>
      <c r="H12" s="16"/>
      <c r="I12" s="19"/>
      <c r="J12" s="16"/>
      <c r="K12" s="17"/>
      <c r="L12" s="17"/>
      <c r="M12" s="17"/>
      <c r="N12" s="17"/>
      <c r="O12" s="17"/>
      <c r="P12" s="17"/>
      <c r="Q12" s="16"/>
      <c r="R12" s="16"/>
      <c r="S12" s="16"/>
      <c r="T12" s="18"/>
      <c r="U12" s="16"/>
      <c r="V12" s="16"/>
      <c r="W12" s="17"/>
      <c r="X12" s="21"/>
      <c r="Y12" s="16"/>
      <c r="Z12" s="18"/>
      <c r="AA12" s="18"/>
      <c r="AB12" s="19"/>
      <c r="AC12" s="17"/>
      <c r="AD12" s="20"/>
      <c r="AE12" s="22"/>
      <c r="AF12" s="23"/>
      <c r="AG12" s="23"/>
      <c r="AH12" s="24" t="s">
        <v>42</v>
      </c>
      <c r="AI12" s="25" t="s">
        <v>42</v>
      </c>
      <c r="AJ12" s="26" t="s">
        <v>42</v>
      </c>
      <c r="AK12" s="25" t="s">
        <v>42</v>
      </c>
    </row>
    <row r="13" ht="22.5" customHeight="1">
      <c r="A13" s="15"/>
      <c r="B13" s="16"/>
      <c r="C13" s="17"/>
      <c r="D13" s="17"/>
      <c r="E13" s="18"/>
      <c r="F13" s="17"/>
      <c r="G13" s="17"/>
      <c r="H13" s="16"/>
      <c r="I13" s="17"/>
      <c r="J13" s="16"/>
      <c r="K13" s="17"/>
      <c r="L13" s="17"/>
      <c r="M13" s="17"/>
      <c r="N13" s="17"/>
      <c r="O13" s="17"/>
      <c r="P13" s="17"/>
      <c r="Q13" s="16"/>
      <c r="R13" s="16"/>
      <c r="S13" s="16"/>
      <c r="T13" s="18"/>
      <c r="U13" s="16"/>
      <c r="V13" s="16"/>
      <c r="W13" s="17"/>
      <c r="X13" s="21"/>
      <c r="Y13" s="16"/>
      <c r="Z13" s="18"/>
      <c r="AA13" s="18"/>
      <c r="AB13" s="19"/>
      <c r="AC13" s="17"/>
      <c r="AD13" s="20"/>
      <c r="AE13" s="22"/>
      <c r="AF13" s="23"/>
      <c r="AG13" s="23"/>
      <c r="AH13" s="24" t="s">
        <v>42</v>
      </c>
      <c r="AI13" s="25" t="s">
        <v>42</v>
      </c>
      <c r="AJ13" s="26" t="s">
        <v>42</v>
      </c>
      <c r="AK13" s="25" t="s">
        <v>42</v>
      </c>
    </row>
    <row r="14" ht="22.5" customHeight="1">
      <c r="A14" s="15"/>
      <c r="B14" s="16"/>
      <c r="C14" s="17"/>
      <c r="D14" s="17"/>
      <c r="E14" s="18"/>
      <c r="F14" s="17"/>
      <c r="G14" s="17"/>
      <c r="H14" s="16"/>
      <c r="I14" s="17"/>
      <c r="J14" s="16"/>
      <c r="K14" s="17"/>
      <c r="L14" s="17"/>
      <c r="M14" s="17"/>
      <c r="N14" s="17"/>
      <c r="O14" s="17"/>
      <c r="P14" s="19"/>
      <c r="Q14" s="16"/>
      <c r="R14" s="16"/>
      <c r="S14" s="16"/>
      <c r="T14" s="18"/>
      <c r="U14" s="16"/>
      <c r="V14" s="16"/>
      <c r="W14" s="17"/>
      <c r="X14" s="17"/>
      <c r="Y14" s="16"/>
      <c r="Z14" s="18"/>
      <c r="AA14" s="18"/>
      <c r="AB14" s="19"/>
      <c r="AC14" s="17"/>
      <c r="AD14" s="20"/>
      <c r="AE14" s="22"/>
      <c r="AF14" s="23"/>
      <c r="AG14" s="23"/>
      <c r="AH14" s="24" t="s">
        <v>42</v>
      </c>
      <c r="AI14" s="25" t="s">
        <v>42</v>
      </c>
      <c r="AJ14" s="26" t="s">
        <v>42</v>
      </c>
      <c r="AK14" s="25" t="s">
        <v>42</v>
      </c>
    </row>
    <row r="15" ht="22.5" customHeight="1">
      <c r="A15" s="15"/>
      <c r="B15" s="16"/>
      <c r="C15" s="17"/>
      <c r="D15" s="17"/>
      <c r="E15" s="18"/>
      <c r="F15" s="17"/>
      <c r="G15" s="17"/>
      <c r="H15" s="16"/>
      <c r="I15" s="17"/>
      <c r="J15" s="16"/>
      <c r="K15" s="17"/>
      <c r="L15" s="17"/>
      <c r="M15" s="17"/>
      <c r="N15" s="17"/>
      <c r="O15" s="17"/>
      <c r="P15" s="19"/>
      <c r="Q15" s="16"/>
      <c r="R15" s="16"/>
      <c r="S15" s="16"/>
      <c r="T15" s="18"/>
      <c r="U15" s="16"/>
      <c r="V15" s="16"/>
      <c r="W15" s="17"/>
      <c r="X15" s="21"/>
      <c r="Y15" s="16"/>
      <c r="Z15" s="18"/>
      <c r="AA15" s="18"/>
      <c r="AB15" s="19"/>
      <c r="AC15" s="17"/>
      <c r="AD15" s="20"/>
      <c r="AE15" s="22"/>
      <c r="AF15" s="23"/>
      <c r="AG15" s="23"/>
      <c r="AH15" s="24" t="s">
        <v>42</v>
      </c>
      <c r="AI15" s="25" t="s">
        <v>42</v>
      </c>
      <c r="AJ15" s="26" t="s">
        <v>42</v>
      </c>
      <c r="AK15" s="25" t="s">
        <v>42</v>
      </c>
    </row>
    <row r="16" ht="22.5" customHeight="1">
      <c r="A16" s="15"/>
      <c r="B16" s="16"/>
      <c r="C16" s="17"/>
      <c r="D16" s="17"/>
      <c r="E16" s="18"/>
      <c r="F16" s="17"/>
      <c r="G16" s="17"/>
      <c r="H16" s="16"/>
      <c r="I16" s="17"/>
      <c r="J16" s="16"/>
      <c r="K16" s="17"/>
      <c r="L16" s="17"/>
      <c r="M16" s="17"/>
      <c r="N16" s="17"/>
      <c r="O16" s="17"/>
      <c r="P16" s="19"/>
      <c r="Q16" s="16"/>
      <c r="R16" s="16"/>
      <c r="S16" s="16"/>
      <c r="T16" s="18"/>
      <c r="U16" s="16"/>
      <c r="V16" s="16"/>
      <c r="W16" s="17"/>
      <c r="X16" s="21"/>
      <c r="Y16" s="16"/>
      <c r="Z16" s="18"/>
      <c r="AA16" s="18"/>
      <c r="AB16" s="19"/>
      <c r="AC16" s="17"/>
      <c r="AD16" s="27"/>
      <c r="AE16" s="22"/>
      <c r="AF16" s="23"/>
      <c r="AG16" s="23"/>
      <c r="AH16" s="24" t="s">
        <v>42</v>
      </c>
      <c r="AI16" s="25" t="s">
        <v>42</v>
      </c>
      <c r="AJ16" s="26" t="s">
        <v>42</v>
      </c>
      <c r="AK16" s="25" t="s">
        <v>42</v>
      </c>
    </row>
    <row r="17" ht="22.5" customHeight="1">
      <c r="A17" s="15"/>
      <c r="B17" s="16"/>
      <c r="C17" s="17"/>
      <c r="D17" s="17"/>
      <c r="E17" s="18"/>
      <c r="F17" s="17"/>
      <c r="G17" s="17"/>
      <c r="H17" s="16"/>
      <c r="I17" s="17"/>
      <c r="J17" s="16"/>
      <c r="K17" s="17"/>
      <c r="L17" s="17"/>
      <c r="M17" s="17"/>
      <c r="N17" s="17"/>
      <c r="O17" s="17"/>
      <c r="P17" s="19"/>
      <c r="Q17" s="16"/>
      <c r="R17" s="16"/>
      <c r="S17" s="16"/>
      <c r="T17" s="18"/>
      <c r="U17" s="16"/>
      <c r="V17" s="16"/>
      <c r="W17" s="17"/>
      <c r="X17" s="21"/>
      <c r="Y17" s="16"/>
      <c r="Z17" s="18"/>
      <c r="AA17" s="18"/>
      <c r="AB17" s="19"/>
      <c r="AC17" s="17"/>
      <c r="AD17" s="27"/>
      <c r="AE17" s="22"/>
      <c r="AF17" s="23"/>
      <c r="AG17" s="23"/>
      <c r="AH17" s="24" t="s">
        <v>42</v>
      </c>
      <c r="AI17" s="25" t="s">
        <v>42</v>
      </c>
      <c r="AJ17" s="26" t="s">
        <v>42</v>
      </c>
      <c r="AK17" s="25" t="s">
        <v>42</v>
      </c>
    </row>
    <row r="18" ht="22.5" customHeight="1">
      <c r="A18" s="15"/>
      <c r="B18" s="16"/>
      <c r="C18" s="17"/>
      <c r="D18" s="17"/>
      <c r="E18" s="18"/>
      <c r="F18" s="17"/>
      <c r="G18" s="17"/>
      <c r="H18" s="16"/>
      <c r="I18" s="17"/>
      <c r="J18" s="16"/>
      <c r="K18" s="17"/>
      <c r="L18" s="17"/>
      <c r="M18" s="17"/>
      <c r="N18" s="17"/>
      <c r="O18" s="17"/>
      <c r="P18" s="19"/>
      <c r="Q18" s="16"/>
      <c r="R18" s="16"/>
      <c r="S18" s="16"/>
      <c r="T18" s="18"/>
      <c r="U18" s="16"/>
      <c r="V18" s="16"/>
      <c r="W18" s="17"/>
      <c r="X18" s="17"/>
      <c r="Y18" s="16"/>
      <c r="Z18" s="18"/>
      <c r="AA18" s="18"/>
      <c r="AB18" s="19"/>
      <c r="AC18" s="17"/>
      <c r="AD18" s="27"/>
      <c r="AE18" s="22"/>
      <c r="AF18" s="23"/>
      <c r="AG18" s="23"/>
      <c r="AH18" s="24" t="s">
        <v>42</v>
      </c>
      <c r="AI18" s="25" t="s">
        <v>42</v>
      </c>
      <c r="AJ18" s="26" t="s">
        <v>42</v>
      </c>
      <c r="AK18" s="25" t="s">
        <v>42</v>
      </c>
    </row>
    <row r="19" ht="22.5" customHeight="1">
      <c r="A19" s="15"/>
      <c r="B19" s="16"/>
      <c r="C19" s="17"/>
      <c r="D19" s="17"/>
      <c r="E19" s="18"/>
      <c r="F19" s="17"/>
      <c r="G19" s="17"/>
      <c r="H19" s="16"/>
      <c r="I19" s="17"/>
      <c r="J19" s="16"/>
      <c r="K19" s="17"/>
      <c r="L19" s="17"/>
      <c r="M19" s="17"/>
      <c r="N19" s="17"/>
      <c r="O19" s="17"/>
      <c r="P19" s="19"/>
      <c r="Q19" s="16"/>
      <c r="R19" s="16"/>
      <c r="S19" s="16"/>
      <c r="T19" s="18"/>
      <c r="U19" s="16"/>
      <c r="V19" s="16"/>
      <c r="W19" s="17"/>
      <c r="X19" s="17"/>
      <c r="Y19" s="16"/>
      <c r="Z19" s="18"/>
      <c r="AA19" s="18"/>
      <c r="AB19" s="19"/>
      <c r="AC19" s="17"/>
      <c r="AD19" s="20"/>
      <c r="AE19" s="22"/>
      <c r="AF19" s="23"/>
      <c r="AG19" s="23"/>
      <c r="AH19" s="24" t="s">
        <v>42</v>
      </c>
      <c r="AI19" s="25" t="s">
        <v>42</v>
      </c>
      <c r="AJ19" s="26" t="s">
        <v>42</v>
      </c>
      <c r="AK19" s="25" t="s">
        <v>42</v>
      </c>
    </row>
    <row r="20" ht="22.5" customHeight="1">
      <c r="A20" s="15"/>
      <c r="B20" s="16"/>
      <c r="C20" s="17"/>
      <c r="D20" s="17"/>
      <c r="E20" s="18"/>
      <c r="F20" s="17"/>
      <c r="G20" s="17"/>
      <c r="H20" s="16"/>
      <c r="I20" s="17"/>
      <c r="J20" s="16"/>
      <c r="K20" s="17"/>
      <c r="L20" s="17"/>
      <c r="M20" s="17"/>
      <c r="N20" s="17"/>
      <c r="O20" s="17"/>
      <c r="P20" s="19"/>
      <c r="Q20" s="16"/>
      <c r="R20" s="16"/>
      <c r="S20" s="16"/>
      <c r="T20" s="18"/>
      <c r="U20" s="16"/>
      <c r="V20" s="16"/>
      <c r="W20" s="17"/>
      <c r="X20" s="17"/>
      <c r="Y20" s="16"/>
      <c r="Z20" s="18"/>
      <c r="AA20" s="18"/>
      <c r="AB20" s="19"/>
      <c r="AC20" s="17"/>
      <c r="AD20" s="27"/>
      <c r="AE20" s="22"/>
      <c r="AF20" s="23"/>
      <c r="AG20" s="23"/>
      <c r="AH20" s="24" t="s">
        <v>42</v>
      </c>
      <c r="AI20" s="24" t="s">
        <v>42</v>
      </c>
      <c r="AJ20" s="28" t="s">
        <v>42</v>
      </c>
      <c r="AK20" s="24" t="s">
        <v>42</v>
      </c>
    </row>
    <row r="21" ht="22.5" customHeight="1">
      <c r="A21" s="15"/>
      <c r="B21" s="16"/>
      <c r="C21" s="17"/>
      <c r="D21" s="17"/>
      <c r="E21" s="18"/>
      <c r="F21" s="17"/>
      <c r="G21" s="17"/>
      <c r="H21" s="16"/>
      <c r="I21" s="17"/>
      <c r="J21" s="16"/>
      <c r="K21" s="17"/>
      <c r="L21" s="17"/>
      <c r="M21" s="17"/>
      <c r="N21" s="17"/>
      <c r="O21" s="17"/>
      <c r="P21" s="19"/>
      <c r="Q21" s="16"/>
      <c r="R21" s="16"/>
      <c r="S21" s="16"/>
      <c r="T21" s="18"/>
      <c r="U21" s="16"/>
      <c r="V21" s="16"/>
      <c r="W21" s="17"/>
      <c r="X21" s="17"/>
      <c r="Y21" s="16"/>
      <c r="Z21" s="18"/>
      <c r="AA21" s="18"/>
      <c r="AB21" s="19"/>
      <c r="AC21" s="17"/>
      <c r="AD21" s="20"/>
      <c r="AE21" s="22"/>
      <c r="AF21" s="23"/>
      <c r="AG21" s="23"/>
      <c r="AH21" s="24" t="s">
        <v>42</v>
      </c>
      <c r="AI21" s="24" t="s">
        <v>42</v>
      </c>
      <c r="AJ21" s="28" t="s">
        <v>42</v>
      </c>
      <c r="AK21" s="24" t="s">
        <v>42</v>
      </c>
    </row>
    <row r="22" ht="22.5" customHeight="1">
      <c r="A22" s="15"/>
      <c r="B22" s="16"/>
      <c r="C22" s="17"/>
      <c r="D22" s="17"/>
      <c r="E22" s="18"/>
      <c r="F22" s="17"/>
      <c r="G22" s="17"/>
      <c r="H22" s="16"/>
      <c r="I22" s="17"/>
      <c r="J22" s="16"/>
      <c r="K22" s="17"/>
      <c r="L22" s="17"/>
      <c r="M22" s="17"/>
      <c r="N22" s="17"/>
      <c r="O22" s="17"/>
      <c r="P22" s="17"/>
      <c r="Q22" s="16"/>
      <c r="R22" s="16"/>
      <c r="S22" s="16"/>
      <c r="T22" s="18"/>
      <c r="U22" s="16"/>
      <c r="V22" s="16"/>
      <c r="W22" s="17"/>
      <c r="X22" s="17"/>
      <c r="Y22" s="16"/>
      <c r="Z22" s="18"/>
      <c r="AA22" s="18"/>
      <c r="AB22" s="19"/>
      <c r="AC22" s="17"/>
      <c r="AD22" s="20"/>
      <c r="AE22" s="22"/>
      <c r="AF22" s="23"/>
      <c r="AG22" s="23"/>
      <c r="AH22" s="24" t="s">
        <v>42</v>
      </c>
      <c r="AI22" s="24" t="s">
        <v>42</v>
      </c>
      <c r="AJ22" s="28" t="s">
        <v>42</v>
      </c>
      <c r="AK22" s="24" t="s">
        <v>42</v>
      </c>
    </row>
    <row r="23" ht="22.5" customHeight="1">
      <c r="A23" s="15"/>
      <c r="B23" s="16"/>
      <c r="C23" s="17"/>
      <c r="D23" s="17"/>
      <c r="E23" s="18"/>
      <c r="F23" s="17"/>
      <c r="G23" s="17"/>
      <c r="H23" s="16"/>
      <c r="I23" s="17"/>
      <c r="J23" s="16"/>
      <c r="K23" s="17"/>
      <c r="L23" s="17"/>
      <c r="M23" s="17"/>
      <c r="N23" s="17"/>
      <c r="O23" s="17"/>
      <c r="P23" s="19"/>
      <c r="Q23" s="16"/>
      <c r="R23" s="16"/>
      <c r="S23" s="16"/>
      <c r="T23" s="18"/>
      <c r="U23" s="16"/>
      <c r="V23" s="16"/>
      <c r="W23" s="17"/>
      <c r="X23" s="17"/>
      <c r="Y23" s="16"/>
      <c r="Z23" s="18"/>
      <c r="AA23" s="18"/>
      <c r="AB23" s="19"/>
      <c r="AC23" s="17"/>
      <c r="AD23" s="27"/>
      <c r="AE23" s="22"/>
      <c r="AF23" s="23"/>
      <c r="AG23" s="23"/>
      <c r="AH23" s="24" t="s">
        <v>42</v>
      </c>
      <c r="AI23" s="24" t="s">
        <v>42</v>
      </c>
      <c r="AJ23" s="28" t="s">
        <v>42</v>
      </c>
      <c r="AK23" s="24" t="s">
        <v>42</v>
      </c>
    </row>
    <row r="24" ht="22.5" customHeight="1">
      <c r="A24" s="15"/>
      <c r="B24" s="16"/>
      <c r="C24" s="17"/>
      <c r="D24" s="17"/>
      <c r="E24" s="18"/>
      <c r="F24" s="17"/>
      <c r="G24" s="17"/>
      <c r="H24" s="16"/>
      <c r="I24" s="17"/>
      <c r="J24" s="16"/>
      <c r="K24" s="17"/>
      <c r="L24" s="17"/>
      <c r="M24" s="17"/>
      <c r="N24" s="17"/>
      <c r="O24" s="17"/>
      <c r="P24" s="19"/>
      <c r="Q24" s="16"/>
      <c r="R24" s="16"/>
      <c r="S24" s="16"/>
      <c r="T24" s="18"/>
      <c r="U24" s="16"/>
      <c r="V24" s="16"/>
      <c r="W24" s="17"/>
      <c r="X24" s="17"/>
      <c r="Y24" s="16"/>
      <c r="Z24" s="18"/>
      <c r="AA24" s="18"/>
      <c r="AB24" s="19"/>
      <c r="AC24" s="17"/>
      <c r="AD24" s="18"/>
      <c r="AE24" s="22"/>
      <c r="AF24" s="23"/>
      <c r="AG24" s="23"/>
      <c r="AH24" s="24" t="s">
        <v>42</v>
      </c>
      <c r="AI24" s="24" t="s">
        <v>42</v>
      </c>
      <c r="AJ24" s="28" t="s">
        <v>42</v>
      </c>
      <c r="AK24" s="24" t="s">
        <v>42</v>
      </c>
    </row>
    <row r="25" ht="22.5" customHeight="1">
      <c r="A25" s="15"/>
      <c r="B25" s="16"/>
      <c r="C25" s="17"/>
      <c r="D25" s="17"/>
      <c r="E25" s="18"/>
      <c r="F25" s="17"/>
      <c r="G25" s="17"/>
      <c r="H25" s="16"/>
      <c r="I25" s="17"/>
      <c r="J25" s="16"/>
      <c r="K25" s="17"/>
      <c r="L25" s="17"/>
      <c r="M25" s="17"/>
      <c r="N25" s="17"/>
      <c r="O25" s="17"/>
      <c r="P25" s="19"/>
      <c r="Q25" s="16"/>
      <c r="R25" s="16"/>
      <c r="S25" s="16"/>
      <c r="T25" s="18"/>
      <c r="U25" s="16"/>
      <c r="V25" s="16"/>
      <c r="W25" s="17"/>
      <c r="X25" s="19"/>
      <c r="Y25" s="16"/>
      <c r="Z25" s="18"/>
      <c r="AA25" s="18"/>
      <c r="AB25" s="19"/>
      <c r="AC25" s="17"/>
      <c r="AD25" s="18"/>
      <c r="AE25" s="22"/>
      <c r="AF25" s="23"/>
      <c r="AG25" s="23"/>
      <c r="AH25" s="24" t="s">
        <v>42</v>
      </c>
      <c r="AI25" s="24" t="s">
        <v>42</v>
      </c>
      <c r="AJ25" s="28" t="s">
        <v>42</v>
      </c>
      <c r="AK25" s="24" t="s">
        <v>42</v>
      </c>
    </row>
    <row r="26" ht="22.5" customHeight="1">
      <c r="A26" s="15"/>
      <c r="B26" s="16"/>
      <c r="C26" s="17"/>
      <c r="D26" s="17"/>
      <c r="E26" s="18"/>
      <c r="F26" s="17"/>
      <c r="G26" s="17"/>
      <c r="H26" s="16"/>
      <c r="I26" s="17"/>
      <c r="J26" s="16"/>
      <c r="K26" s="17"/>
      <c r="L26" s="17"/>
      <c r="M26" s="17"/>
      <c r="N26" s="17"/>
      <c r="O26" s="17"/>
      <c r="P26" s="19"/>
      <c r="Q26" s="16"/>
      <c r="R26" s="16"/>
      <c r="S26" s="16"/>
      <c r="T26" s="18"/>
      <c r="U26" s="16"/>
      <c r="V26" s="16"/>
      <c r="W26" s="17"/>
      <c r="X26" s="19"/>
      <c r="Y26" s="16"/>
      <c r="Z26" s="18"/>
      <c r="AA26" s="18"/>
      <c r="AB26" s="19"/>
      <c r="AC26" s="17"/>
      <c r="AD26" s="18"/>
      <c r="AE26" s="22"/>
      <c r="AF26" s="23"/>
      <c r="AG26" s="23"/>
      <c r="AH26" s="24" t="s">
        <v>42</v>
      </c>
      <c r="AI26" s="24" t="s">
        <v>42</v>
      </c>
      <c r="AJ26" s="28" t="s">
        <v>42</v>
      </c>
      <c r="AK26" s="24" t="s">
        <v>42</v>
      </c>
    </row>
    <row r="27" ht="22.5" customHeight="1">
      <c r="A27" s="15"/>
      <c r="B27" s="16"/>
      <c r="C27" s="17"/>
      <c r="D27" s="17"/>
      <c r="E27" s="18"/>
      <c r="F27" s="17"/>
      <c r="G27" s="17"/>
      <c r="H27" s="16"/>
      <c r="I27" s="17"/>
      <c r="J27" s="16"/>
      <c r="K27" s="17"/>
      <c r="L27" s="17"/>
      <c r="M27" s="17"/>
      <c r="N27" s="17"/>
      <c r="O27" s="17"/>
      <c r="P27" s="19"/>
      <c r="Q27" s="16"/>
      <c r="R27" s="16"/>
      <c r="S27" s="16"/>
      <c r="T27" s="18"/>
      <c r="U27" s="16"/>
      <c r="V27" s="16"/>
      <c r="W27" s="17"/>
      <c r="X27" s="17"/>
      <c r="Y27" s="16"/>
      <c r="Z27" s="18"/>
      <c r="AA27" s="18"/>
      <c r="AB27" s="19"/>
      <c r="AC27" s="17"/>
      <c r="AD27" s="18"/>
      <c r="AE27" s="22"/>
      <c r="AF27" s="23"/>
      <c r="AG27" s="23"/>
      <c r="AH27" s="24" t="s">
        <v>42</v>
      </c>
      <c r="AI27" s="24" t="s">
        <v>42</v>
      </c>
      <c r="AJ27" s="28" t="s">
        <v>42</v>
      </c>
      <c r="AK27" s="24" t="s">
        <v>42</v>
      </c>
    </row>
    <row r="28" ht="22.5" customHeight="1">
      <c r="A28" s="15"/>
      <c r="B28" s="16"/>
      <c r="C28" s="17"/>
      <c r="D28" s="17"/>
      <c r="E28" s="18"/>
      <c r="F28" s="17"/>
      <c r="G28" s="17"/>
      <c r="H28" s="16"/>
      <c r="I28" s="17"/>
      <c r="J28" s="16"/>
      <c r="K28" s="17"/>
      <c r="L28" s="17"/>
      <c r="M28" s="17"/>
      <c r="N28" s="17"/>
      <c r="O28" s="17"/>
      <c r="P28" s="19"/>
      <c r="Q28" s="16"/>
      <c r="R28" s="16"/>
      <c r="S28" s="16"/>
      <c r="T28" s="18"/>
      <c r="U28" s="16"/>
      <c r="V28" s="16"/>
      <c r="W28" s="17"/>
      <c r="X28" s="17"/>
      <c r="Y28" s="16"/>
      <c r="Z28" s="18"/>
      <c r="AA28" s="18"/>
      <c r="AB28" s="19"/>
      <c r="AC28" s="17"/>
      <c r="AD28" s="18"/>
      <c r="AE28" s="22"/>
      <c r="AF28" s="23"/>
      <c r="AG28" s="23"/>
      <c r="AH28" s="24" t="s">
        <v>42</v>
      </c>
      <c r="AI28" s="24" t="s">
        <v>42</v>
      </c>
      <c r="AJ28" s="28" t="s">
        <v>42</v>
      </c>
      <c r="AK28" s="24" t="s">
        <v>42</v>
      </c>
    </row>
    <row r="29" ht="22.5" customHeight="1">
      <c r="A29" s="15"/>
      <c r="B29" s="16"/>
      <c r="C29" s="17"/>
      <c r="D29" s="17"/>
      <c r="E29" s="18"/>
      <c r="F29" s="17"/>
      <c r="G29" s="17"/>
      <c r="H29" s="16"/>
      <c r="I29" s="17"/>
      <c r="J29" s="16"/>
      <c r="K29" s="17"/>
      <c r="L29" s="17"/>
      <c r="M29" s="17"/>
      <c r="N29" s="17"/>
      <c r="O29" s="17"/>
      <c r="P29" s="19"/>
      <c r="Q29" s="16"/>
      <c r="R29" s="16"/>
      <c r="S29" s="16"/>
      <c r="T29" s="18"/>
      <c r="U29" s="16"/>
      <c r="V29" s="16"/>
      <c r="W29" s="17"/>
      <c r="X29" s="17"/>
      <c r="Y29" s="16"/>
      <c r="Z29" s="18"/>
      <c r="AA29" s="18"/>
      <c r="AB29" s="19"/>
      <c r="AC29" s="17"/>
      <c r="AD29" s="20"/>
      <c r="AE29" s="22"/>
      <c r="AF29" s="23"/>
      <c r="AG29" s="23"/>
      <c r="AH29" s="24" t="s">
        <v>42</v>
      </c>
      <c r="AI29" s="24" t="s">
        <v>42</v>
      </c>
      <c r="AJ29" s="28" t="s">
        <v>42</v>
      </c>
      <c r="AK29" s="24" t="s">
        <v>42</v>
      </c>
    </row>
    <row r="30" ht="22.5" customHeight="1">
      <c r="A30" s="15"/>
      <c r="B30" s="16"/>
      <c r="C30" s="17"/>
      <c r="D30" s="17"/>
      <c r="E30" s="18"/>
      <c r="F30" s="17"/>
      <c r="G30" s="17"/>
      <c r="H30" s="16"/>
      <c r="I30" s="17"/>
      <c r="J30" s="16"/>
      <c r="K30" s="17"/>
      <c r="L30" s="17"/>
      <c r="M30" s="17"/>
      <c r="N30" s="17"/>
      <c r="O30" s="17"/>
      <c r="P30" s="19"/>
      <c r="Q30" s="16"/>
      <c r="R30" s="16"/>
      <c r="S30" s="16"/>
      <c r="T30" s="18"/>
      <c r="U30" s="16"/>
      <c r="V30" s="16"/>
      <c r="W30" s="17"/>
      <c r="X30" s="19"/>
      <c r="Y30" s="16"/>
      <c r="Z30" s="18"/>
      <c r="AA30" s="18"/>
      <c r="AB30" s="19"/>
      <c r="AC30" s="17"/>
      <c r="AD30" s="18"/>
      <c r="AE30" s="22"/>
      <c r="AF30" s="23"/>
      <c r="AG30" s="23"/>
      <c r="AH30" s="24" t="s">
        <v>42</v>
      </c>
      <c r="AI30" s="24" t="s">
        <v>42</v>
      </c>
      <c r="AJ30" s="28" t="s">
        <v>42</v>
      </c>
      <c r="AK30" s="24" t="s">
        <v>42</v>
      </c>
    </row>
    <row r="31" ht="22.5" customHeight="1">
      <c r="A31" s="15"/>
      <c r="B31" s="16"/>
      <c r="C31" s="17"/>
      <c r="D31" s="17"/>
      <c r="E31" s="18"/>
      <c r="F31" s="17"/>
      <c r="G31" s="17"/>
      <c r="H31" s="16"/>
      <c r="I31" s="17"/>
      <c r="J31" s="16"/>
      <c r="K31" s="17"/>
      <c r="L31" s="17"/>
      <c r="M31" s="17"/>
      <c r="N31" s="17"/>
      <c r="O31" s="17"/>
      <c r="P31" s="19"/>
      <c r="Q31" s="16"/>
      <c r="R31" s="16"/>
      <c r="S31" s="16"/>
      <c r="T31" s="18"/>
      <c r="U31" s="16"/>
      <c r="V31" s="16"/>
      <c r="W31" s="17"/>
      <c r="X31" s="17"/>
      <c r="Y31" s="16"/>
      <c r="Z31" s="18"/>
      <c r="AA31" s="18"/>
      <c r="AB31" s="19"/>
      <c r="AC31" s="17"/>
      <c r="AD31" s="18"/>
      <c r="AE31" s="22"/>
      <c r="AF31" s="23"/>
      <c r="AG31" s="23"/>
      <c r="AH31" s="24" t="s">
        <v>42</v>
      </c>
      <c r="AI31" s="24" t="s">
        <v>42</v>
      </c>
      <c r="AJ31" s="28" t="s">
        <v>42</v>
      </c>
      <c r="AK31" s="24" t="s">
        <v>42</v>
      </c>
    </row>
    <row r="32" ht="22.5" customHeight="1">
      <c r="A32" s="15"/>
      <c r="B32" s="16"/>
      <c r="C32" s="17"/>
      <c r="D32" s="17"/>
      <c r="E32" s="18"/>
      <c r="F32" s="17"/>
      <c r="G32" s="17"/>
      <c r="H32" s="16"/>
      <c r="I32" s="17"/>
      <c r="J32" s="16"/>
      <c r="K32" s="17"/>
      <c r="L32" s="17"/>
      <c r="M32" s="17"/>
      <c r="N32" s="17"/>
      <c r="O32" s="17"/>
      <c r="P32" s="19"/>
      <c r="Q32" s="16"/>
      <c r="R32" s="16"/>
      <c r="S32" s="16"/>
      <c r="T32" s="18"/>
      <c r="U32" s="16"/>
      <c r="V32" s="16"/>
      <c r="W32" s="17"/>
      <c r="X32" s="19"/>
      <c r="Y32" s="16"/>
      <c r="Z32" s="18"/>
      <c r="AA32" s="18"/>
      <c r="AB32" s="19"/>
      <c r="AC32" s="17"/>
      <c r="AD32" s="18"/>
      <c r="AE32" s="22"/>
      <c r="AF32" s="23"/>
      <c r="AG32" s="23"/>
      <c r="AH32" s="24" t="s">
        <v>42</v>
      </c>
      <c r="AI32" s="24" t="s">
        <v>42</v>
      </c>
      <c r="AJ32" s="28" t="s">
        <v>42</v>
      </c>
      <c r="AK32" s="24" t="s">
        <v>42</v>
      </c>
    </row>
    <row r="33" ht="22.5" customHeight="1">
      <c r="A33" s="15"/>
      <c r="B33" s="16"/>
      <c r="C33" s="17"/>
      <c r="D33" s="17"/>
      <c r="E33" s="18"/>
      <c r="F33" s="17"/>
      <c r="G33" s="17"/>
      <c r="H33" s="16"/>
      <c r="I33" s="17"/>
      <c r="J33" s="16"/>
      <c r="K33" s="17"/>
      <c r="L33" s="17"/>
      <c r="M33" s="17"/>
      <c r="N33" s="17"/>
      <c r="O33" s="17"/>
      <c r="P33" s="19"/>
      <c r="Q33" s="16"/>
      <c r="R33" s="16"/>
      <c r="S33" s="16"/>
      <c r="T33" s="18"/>
      <c r="U33" s="16"/>
      <c r="V33" s="16"/>
      <c r="W33" s="17"/>
      <c r="X33" s="19"/>
      <c r="Y33" s="16"/>
      <c r="Z33" s="18"/>
      <c r="AA33" s="18"/>
      <c r="AB33" s="19"/>
      <c r="AC33" s="17"/>
      <c r="AD33" s="18"/>
      <c r="AE33" s="22"/>
      <c r="AF33" s="23"/>
      <c r="AG33" s="23"/>
      <c r="AH33" s="24" t="s">
        <v>42</v>
      </c>
      <c r="AI33" s="24" t="s">
        <v>42</v>
      </c>
      <c r="AJ33" s="28" t="s">
        <v>42</v>
      </c>
      <c r="AK33" s="24" t="s">
        <v>42</v>
      </c>
    </row>
    <row r="34" ht="22.5" customHeight="1">
      <c r="A34" s="15"/>
      <c r="B34" s="16"/>
      <c r="C34" s="17"/>
      <c r="D34" s="17"/>
      <c r="E34" s="18"/>
      <c r="F34" s="17"/>
      <c r="G34" s="17"/>
      <c r="H34" s="16"/>
      <c r="I34" s="17"/>
      <c r="J34" s="16"/>
      <c r="K34" s="17"/>
      <c r="L34" s="17"/>
      <c r="M34" s="17"/>
      <c r="N34" s="17"/>
      <c r="O34" s="17"/>
      <c r="P34" s="19"/>
      <c r="Q34" s="16"/>
      <c r="R34" s="16"/>
      <c r="S34" s="16"/>
      <c r="T34" s="18"/>
      <c r="U34" s="16"/>
      <c r="V34" s="16"/>
      <c r="W34" s="17"/>
      <c r="X34" s="19"/>
      <c r="Y34" s="16"/>
      <c r="Z34" s="18"/>
      <c r="AA34" s="18"/>
      <c r="AB34" s="19"/>
      <c r="AC34" s="17"/>
      <c r="AD34" s="18"/>
      <c r="AE34" s="22"/>
      <c r="AF34" s="23"/>
      <c r="AG34" s="23"/>
      <c r="AH34" s="24" t="s">
        <v>42</v>
      </c>
      <c r="AI34" s="24" t="s">
        <v>42</v>
      </c>
      <c r="AJ34" s="28" t="s">
        <v>42</v>
      </c>
      <c r="AK34" s="24" t="s">
        <v>42</v>
      </c>
    </row>
    <row r="35" ht="22.5" customHeight="1">
      <c r="A35" s="15"/>
      <c r="B35" s="16"/>
      <c r="C35" s="17"/>
      <c r="D35" s="17"/>
      <c r="E35" s="18"/>
      <c r="F35" s="17"/>
      <c r="G35" s="17"/>
      <c r="H35" s="16"/>
      <c r="I35" s="17"/>
      <c r="J35" s="16"/>
      <c r="K35" s="17"/>
      <c r="L35" s="17"/>
      <c r="M35" s="17"/>
      <c r="N35" s="17"/>
      <c r="O35" s="17"/>
      <c r="P35" s="19"/>
      <c r="Q35" s="16"/>
      <c r="R35" s="16"/>
      <c r="S35" s="16"/>
      <c r="T35" s="18"/>
      <c r="U35" s="16"/>
      <c r="V35" s="16"/>
      <c r="W35" s="17"/>
      <c r="X35" s="19"/>
      <c r="Y35" s="16"/>
      <c r="Z35" s="18"/>
      <c r="AA35" s="18"/>
      <c r="AB35" s="19"/>
      <c r="AC35" s="17"/>
      <c r="AD35" s="27"/>
      <c r="AE35" s="22"/>
      <c r="AF35" s="23"/>
      <c r="AG35" s="23"/>
      <c r="AH35" s="24" t="s">
        <v>42</v>
      </c>
      <c r="AI35" s="24" t="s">
        <v>42</v>
      </c>
      <c r="AJ35" s="28" t="s">
        <v>42</v>
      </c>
      <c r="AK35" s="24" t="s">
        <v>42</v>
      </c>
    </row>
    <row r="36" ht="22.5" customHeight="1">
      <c r="A36" s="15"/>
      <c r="B36" s="16"/>
      <c r="C36" s="17"/>
      <c r="D36" s="17"/>
      <c r="E36" s="18"/>
      <c r="F36" s="17"/>
      <c r="G36" s="17"/>
      <c r="H36" s="16"/>
      <c r="I36" s="17"/>
      <c r="J36" s="16"/>
      <c r="K36" s="17"/>
      <c r="L36" s="17"/>
      <c r="M36" s="17"/>
      <c r="N36" s="17"/>
      <c r="O36" s="17"/>
      <c r="P36" s="19"/>
      <c r="Q36" s="16"/>
      <c r="R36" s="16"/>
      <c r="S36" s="16"/>
      <c r="T36" s="18"/>
      <c r="U36" s="16"/>
      <c r="V36" s="16"/>
      <c r="W36" s="17"/>
      <c r="X36" s="19"/>
      <c r="Y36" s="16"/>
      <c r="Z36" s="18"/>
      <c r="AA36" s="18"/>
      <c r="AB36" s="19"/>
      <c r="AC36" s="17"/>
      <c r="AD36" s="27"/>
      <c r="AE36" s="22"/>
      <c r="AF36" s="23"/>
      <c r="AG36" s="23"/>
      <c r="AH36" s="24" t="s">
        <v>42</v>
      </c>
      <c r="AI36" s="24" t="s">
        <v>42</v>
      </c>
      <c r="AJ36" s="28" t="s">
        <v>42</v>
      </c>
      <c r="AK36" s="24" t="s">
        <v>42</v>
      </c>
    </row>
    <row r="37" ht="22.5" customHeight="1">
      <c r="A37" s="15"/>
      <c r="B37" s="16"/>
      <c r="C37" s="17"/>
      <c r="D37" s="17"/>
      <c r="E37" s="18"/>
      <c r="F37" s="17"/>
      <c r="G37" s="17"/>
      <c r="H37" s="16"/>
      <c r="I37" s="17"/>
      <c r="J37" s="16"/>
      <c r="K37" s="17"/>
      <c r="L37" s="17"/>
      <c r="M37" s="17"/>
      <c r="N37" s="17"/>
      <c r="O37" s="17"/>
      <c r="P37" s="19"/>
      <c r="Q37" s="16"/>
      <c r="R37" s="16"/>
      <c r="S37" s="16"/>
      <c r="T37" s="18"/>
      <c r="U37" s="16"/>
      <c r="V37" s="16"/>
      <c r="W37" s="17"/>
      <c r="X37" s="17"/>
      <c r="Y37" s="16"/>
      <c r="Z37" s="18"/>
      <c r="AA37" s="18"/>
      <c r="AB37" s="19"/>
      <c r="AC37" s="17"/>
      <c r="AD37" s="27"/>
      <c r="AE37" s="22"/>
      <c r="AF37" s="23"/>
      <c r="AG37" s="23"/>
      <c r="AH37" s="24" t="s">
        <v>42</v>
      </c>
      <c r="AI37" s="24" t="s">
        <v>42</v>
      </c>
      <c r="AJ37" s="28" t="s">
        <v>42</v>
      </c>
      <c r="AK37" s="24" t="s">
        <v>42</v>
      </c>
    </row>
    <row r="38" ht="22.5" customHeight="1">
      <c r="A38" s="15"/>
      <c r="B38" s="16"/>
      <c r="C38" s="17"/>
      <c r="D38" s="17"/>
      <c r="E38" s="18"/>
      <c r="F38" s="17"/>
      <c r="G38" s="17"/>
      <c r="H38" s="16"/>
      <c r="I38" s="17"/>
      <c r="J38" s="16"/>
      <c r="K38" s="17"/>
      <c r="L38" s="17"/>
      <c r="M38" s="17"/>
      <c r="N38" s="17"/>
      <c r="O38" s="17"/>
      <c r="P38" s="19"/>
      <c r="Q38" s="16"/>
      <c r="R38" s="16"/>
      <c r="S38" s="16"/>
      <c r="T38" s="18"/>
      <c r="U38" s="16"/>
      <c r="V38" s="16"/>
      <c r="W38" s="17"/>
      <c r="X38" s="17"/>
      <c r="Y38" s="16"/>
      <c r="Z38" s="18"/>
      <c r="AA38" s="18"/>
      <c r="AB38" s="19"/>
      <c r="AC38" s="17"/>
      <c r="AD38" s="27"/>
      <c r="AE38" s="22"/>
      <c r="AF38" s="23"/>
      <c r="AG38" s="23"/>
      <c r="AH38" s="24" t="s">
        <v>42</v>
      </c>
      <c r="AI38" s="24" t="s">
        <v>42</v>
      </c>
      <c r="AJ38" s="28" t="s">
        <v>42</v>
      </c>
      <c r="AK38" s="24" t="s">
        <v>42</v>
      </c>
    </row>
    <row r="39" ht="22.5" customHeight="1">
      <c r="A39" s="15"/>
      <c r="B39" s="16"/>
      <c r="C39" s="17"/>
      <c r="D39" s="17"/>
      <c r="E39" s="18"/>
      <c r="F39" s="17"/>
      <c r="G39" s="17"/>
      <c r="H39" s="16"/>
      <c r="I39" s="17"/>
      <c r="J39" s="16"/>
      <c r="K39" s="17"/>
      <c r="L39" s="17"/>
      <c r="M39" s="17"/>
      <c r="N39" s="17"/>
      <c r="O39" s="17"/>
      <c r="P39" s="19"/>
      <c r="Q39" s="16"/>
      <c r="R39" s="16"/>
      <c r="S39" s="16"/>
      <c r="T39" s="18"/>
      <c r="U39" s="16"/>
      <c r="V39" s="16"/>
      <c r="W39" s="17"/>
      <c r="X39" s="17"/>
      <c r="Y39" s="16"/>
      <c r="Z39" s="18"/>
      <c r="AA39" s="18"/>
      <c r="AB39" s="19"/>
      <c r="AC39" s="17"/>
      <c r="AD39" s="27"/>
      <c r="AE39" s="22"/>
      <c r="AF39" s="23"/>
      <c r="AG39" s="23"/>
      <c r="AH39" s="24" t="s">
        <v>42</v>
      </c>
      <c r="AI39" s="24" t="s">
        <v>42</v>
      </c>
      <c r="AJ39" s="28" t="s">
        <v>42</v>
      </c>
      <c r="AK39" s="24" t="s">
        <v>42</v>
      </c>
    </row>
    <row r="40" ht="22.5" customHeight="1">
      <c r="A40" s="15"/>
      <c r="B40" s="16"/>
      <c r="C40" s="17"/>
      <c r="D40" s="17"/>
      <c r="E40" s="18"/>
      <c r="F40" s="17"/>
      <c r="G40" s="17"/>
      <c r="H40" s="16"/>
      <c r="I40" s="17"/>
      <c r="J40" s="16"/>
      <c r="K40" s="17"/>
      <c r="L40" s="17"/>
      <c r="M40" s="17"/>
      <c r="N40" s="17"/>
      <c r="O40" s="17"/>
      <c r="P40" s="19"/>
      <c r="Q40" s="16"/>
      <c r="R40" s="16"/>
      <c r="S40" s="16"/>
      <c r="T40" s="18"/>
      <c r="U40" s="16"/>
      <c r="V40" s="16"/>
      <c r="W40" s="17"/>
      <c r="X40" s="17"/>
      <c r="Y40" s="16"/>
      <c r="Z40" s="18"/>
      <c r="AA40" s="18"/>
      <c r="AB40" s="19"/>
      <c r="AC40" s="17"/>
      <c r="AD40" s="18"/>
      <c r="AE40" s="22"/>
      <c r="AF40" s="23"/>
      <c r="AG40" s="23"/>
      <c r="AH40" s="24" t="s">
        <v>42</v>
      </c>
      <c r="AI40" s="24" t="s">
        <v>42</v>
      </c>
      <c r="AJ40" s="28" t="s">
        <v>42</v>
      </c>
      <c r="AK40" s="24" t="s">
        <v>42</v>
      </c>
    </row>
    <row r="41" ht="22.5" customHeight="1">
      <c r="A41" s="15"/>
      <c r="B41" s="16"/>
      <c r="C41" s="17"/>
      <c r="D41" s="17"/>
      <c r="E41" s="18"/>
      <c r="F41" s="17"/>
      <c r="G41" s="17"/>
      <c r="H41" s="16"/>
      <c r="I41" s="17"/>
      <c r="J41" s="16"/>
      <c r="K41" s="17"/>
      <c r="L41" s="17"/>
      <c r="M41" s="17"/>
      <c r="N41" s="17"/>
      <c r="O41" s="17"/>
      <c r="P41" s="19"/>
      <c r="Q41" s="16"/>
      <c r="R41" s="16"/>
      <c r="S41" s="16"/>
      <c r="T41" s="18"/>
      <c r="U41" s="16"/>
      <c r="V41" s="16"/>
      <c r="W41" s="17"/>
      <c r="X41" s="17"/>
      <c r="Y41" s="16"/>
      <c r="Z41" s="18"/>
      <c r="AA41" s="18"/>
      <c r="AB41" s="19"/>
      <c r="AC41" s="17"/>
      <c r="AD41" s="27"/>
      <c r="AE41" s="22"/>
      <c r="AF41" s="23"/>
      <c r="AG41" s="23"/>
      <c r="AH41" s="24" t="s">
        <v>42</v>
      </c>
      <c r="AI41" s="24" t="s">
        <v>42</v>
      </c>
      <c r="AJ41" s="28" t="s">
        <v>42</v>
      </c>
      <c r="AK41" s="24" t="s">
        <v>42</v>
      </c>
    </row>
    <row r="42" ht="22.5" customHeight="1">
      <c r="A42" s="15"/>
      <c r="B42" s="16"/>
      <c r="C42" s="17"/>
      <c r="D42" s="17"/>
      <c r="E42" s="18"/>
      <c r="F42" s="17"/>
      <c r="G42" s="17"/>
      <c r="H42" s="16"/>
      <c r="I42" s="17"/>
      <c r="J42" s="16"/>
      <c r="K42" s="17"/>
      <c r="L42" s="17"/>
      <c r="M42" s="17"/>
      <c r="N42" s="17"/>
      <c r="O42" s="17"/>
      <c r="P42" s="19"/>
      <c r="Q42" s="16"/>
      <c r="R42" s="16"/>
      <c r="S42" s="16"/>
      <c r="T42" s="18"/>
      <c r="U42" s="16"/>
      <c r="V42" s="16"/>
      <c r="W42" s="17"/>
      <c r="X42" s="17"/>
      <c r="Y42" s="16"/>
      <c r="Z42" s="18"/>
      <c r="AA42" s="18"/>
      <c r="AB42" s="19"/>
      <c r="AC42" s="17"/>
      <c r="AD42" s="18"/>
      <c r="AE42" s="22"/>
      <c r="AF42" s="23"/>
      <c r="AG42" s="23"/>
      <c r="AH42" s="24" t="s">
        <v>42</v>
      </c>
      <c r="AI42" s="24" t="s">
        <v>42</v>
      </c>
      <c r="AJ42" s="28" t="s">
        <v>42</v>
      </c>
      <c r="AK42" s="24" t="s">
        <v>42</v>
      </c>
    </row>
    <row r="43" ht="22.5" customHeight="1">
      <c r="A43" s="15"/>
      <c r="B43" s="16"/>
      <c r="C43" s="17"/>
      <c r="D43" s="17"/>
      <c r="E43" s="18"/>
      <c r="F43" s="17"/>
      <c r="G43" s="17"/>
      <c r="H43" s="16"/>
      <c r="I43" s="17"/>
      <c r="J43" s="16"/>
      <c r="K43" s="17"/>
      <c r="L43" s="17"/>
      <c r="M43" s="17"/>
      <c r="N43" s="17"/>
      <c r="O43" s="17"/>
      <c r="P43" s="19"/>
      <c r="Q43" s="16"/>
      <c r="R43" s="16"/>
      <c r="S43" s="16"/>
      <c r="T43" s="18"/>
      <c r="U43" s="16"/>
      <c r="V43" s="16"/>
      <c r="W43" s="17"/>
      <c r="X43" s="17"/>
      <c r="Y43" s="16"/>
      <c r="Z43" s="18"/>
      <c r="AA43" s="18"/>
      <c r="AB43" s="19"/>
      <c r="AC43" s="17"/>
      <c r="AD43" s="27"/>
      <c r="AE43" s="22"/>
      <c r="AF43" s="23"/>
      <c r="AG43" s="23"/>
      <c r="AH43" s="24" t="s">
        <v>42</v>
      </c>
      <c r="AI43" s="24" t="s">
        <v>42</v>
      </c>
      <c r="AJ43" s="28" t="s">
        <v>42</v>
      </c>
      <c r="AK43" s="24" t="s">
        <v>42</v>
      </c>
    </row>
    <row r="44" ht="22.5" customHeight="1">
      <c r="A44" s="15"/>
      <c r="B44" s="16"/>
      <c r="C44" s="17"/>
      <c r="D44" s="17"/>
      <c r="E44" s="18"/>
      <c r="F44" s="17"/>
      <c r="G44" s="17"/>
      <c r="H44" s="16"/>
      <c r="I44" s="17"/>
      <c r="J44" s="16"/>
      <c r="K44" s="17"/>
      <c r="L44" s="17"/>
      <c r="M44" s="17"/>
      <c r="N44" s="17"/>
      <c r="O44" s="17"/>
      <c r="P44" s="19"/>
      <c r="Q44" s="16"/>
      <c r="R44" s="16"/>
      <c r="S44" s="16"/>
      <c r="T44" s="18"/>
      <c r="U44" s="16"/>
      <c r="V44" s="16"/>
      <c r="W44" s="17"/>
      <c r="X44" s="17"/>
      <c r="Y44" s="16"/>
      <c r="Z44" s="18"/>
      <c r="AA44" s="18"/>
      <c r="AB44" s="19"/>
      <c r="AC44" s="17"/>
      <c r="AD44" s="18"/>
      <c r="AE44" s="22"/>
      <c r="AF44" s="23"/>
      <c r="AG44" s="23"/>
      <c r="AH44" s="24" t="s">
        <v>42</v>
      </c>
      <c r="AI44" s="24" t="s">
        <v>42</v>
      </c>
      <c r="AJ44" s="28" t="s">
        <v>42</v>
      </c>
      <c r="AK44" s="24" t="s">
        <v>42</v>
      </c>
    </row>
    <row r="45" ht="22.5" customHeight="1">
      <c r="A45" s="15"/>
      <c r="B45" s="16"/>
      <c r="C45" s="17"/>
      <c r="D45" s="17"/>
      <c r="E45" s="18"/>
      <c r="F45" s="17"/>
      <c r="G45" s="17"/>
      <c r="H45" s="16"/>
      <c r="I45" s="17"/>
      <c r="J45" s="16"/>
      <c r="K45" s="17"/>
      <c r="L45" s="17"/>
      <c r="M45" s="17"/>
      <c r="N45" s="17"/>
      <c r="O45" s="17"/>
      <c r="P45" s="19"/>
      <c r="Q45" s="16"/>
      <c r="R45" s="16"/>
      <c r="S45" s="16"/>
      <c r="T45" s="18"/>
      <c r="U45" s="16"/>
      <c r="V45" s="16"/>
      <c r="W45" s="17"/>
      <c r="X45" s="17"/>
      <c r="Y45" s="16"/>
      <c r="Z45" s="18"/>
      <c r="AA45" s="18"/>
      <c r="AB45" s="18"/>
      <c r="AC45" s="17"/>
      <c r="AD45" s="18"/>
      <c r="AE45" s="22"/>
      <c r="AF45" s="23"/>
      <c r="AG45" s="23"/>
      <c r="AH45" s="24" t="s">
        <v>42</v>
      </c>
      <c r="AI45" s="24" t="s">
        <v>42</v>
      </c>
      <c r="AJ45" s="28" t="s">
        <v>42</v>
      </c>
      <c r="AK45" s="24" t="s">
        <v>42</v>
      </c>
    </row>
    <row r="46" ht="22.5" customHeight="1">
      <c r="A46" s="15"/>
      <c r="B46" s="16"/>
      <c r="C46" s="17"/>
      <c r="D46" s="17"/>
      <c r="E46" s="18"/>
      <c r="F46" s="17"/>
      <c r="G46" s="17"/>
      <c r="H46" s="16"/>
      <c r="I46" s="17"/>
      <c r="J46" s="16"/>
      <c r="K46" s="17"/>
      <c r="L46" s="17"/>
      <c r="M46" s="17"/>
      <c r="N46" s="17"/>
      <c r="O46" s="17"/>
      <c r="P46" s="19"/>
      <c r="Q46" s="16"/>
      <c r="R46" s="16"/>
      <c r="S46" s="16"/>
      <c r="T46" s="18"/>
      <c r="U46" s="16"/>
      <c r="V46" s="16"/>
      <c r="W46" s="17"/>
      <c r="X46" s="17"/>
      <c r="Y46" s="16"/>
      <c r="Z46" s="18"/>
      <c r="AA46" s="18"/>
      <c r="AB46" s="19"/>
      <c r="AC46" s="17"/>
      <c r="AD46" s="18"/>
      <c r="AE46" s="22"/>
      <c r="AF46" s="23"/>
      <c r="AG46" s="23"/>
      <c r="AH46" s="24" t="s">
        <v>42</v>
      </c>
      <c r="AI46" s="24" t="s">
        <v>42</v>
      </c>
      <c r="AJ46" s="28" t="s">
        <v>42</v>
      </c>
      <c r="AK46" s="24" t="s">
        <v>42</v>
      </c>
    </row>
    <row r="47" ht="22.5" customHeight="1">
      <c r="A47" s="15"/>
      <c r="B47" s="16"/>
      <c r="C47" s="17"/>
      <c r="D47" s="17"/>
      <c r="E47" s="18"/>
      <c r="F47" s="17"/>
      <c r="G47" s="17"/>
      <c r="H47" s="16"/>
      <c r="I47" s="17"/>
      <c r="J47" s="16"/>
      <c r="K47" s="17"/>
      <c r="L47" s="17"/>
      <c r="M47" s="17"/>
      <c r="N47" s="17"/>
      <c r="O47" s="17"/>
      <c r="P47" s="19"/>
      <c r="Q47" s="16"/>
      <c r="R47" s="16"/>
      <c r="S47" s="16"/>
      <c r="T47" s="18"/>
      <c r="U47" s="16"/>
      <c r="V47" s="16"/>
      <c r="W47" s="17"/>
      <c r="X47" s="17"/>
      <c r="Y47" s="16"/>
      <c r="Z47" s="18"/>
      <c r="AA47" s="18"/>
      <c r="AB47" s="19"/>
      <c r="AC47" s="17"/>
      <c r="AD47" s="18"/>
      <c r="AE47" s="22"/>
      <c r="AF47" s="23"/>
      <c r="AG47" s="23"/>
      <c r="AH47" s="24" t="s">
        <v>42</v>
      </c>
      <c r="AI47" s="24" t="s">
        <v>42</v>
      </c>
      <c r="AJ47" s="28" t="s">
        <v>42</v>
      </c>
      <c r="AK47" s="24" t="s">
        <v>42</v>
      </c>
    </row>
    <row r="48" ht="22.5" customHeight="1">
      <c r="A48" s="15"/>
      <c r="B48" s="16"/>
      <c r="C48" s="17"/>
      <c r="D48" s="17"/>
      <c r="E48" s="18"/>
      <c r="F48" s="17"/>
      <c r="G48" s="17"/>
      <c r="H48" s="16"/>
      <c r="I48" s="17"/>
      <c r="J48" s="16"/>
      <c r="K48" s="17"/>
      <c r="L48" s="17"/>
      <c r="M48" s="17"/>
      <c r="N48" s="17"/>
      <c r="O48" s="17"/>
      <c r="P48" s="19"/>
      <c r="Q48" s="16"/>
      <c r="R48" s="16"/>
      <c r="S48" s="16"/>
      <c r="T48" s="18"/>
      <c r="U48" s="16"/>
      <c r="V48" s="16"/>
      <c r="W48" s="17"/>
      <c r="X48" s="17"/>
      <c r="Y48" s="16"/>
      <c r="Z48" s="18"/>
      <c r="AA48" s="18"/>
      <c r="AB48" s="18"/>
      <c r="AC48" s="17"/>
      <c r="AD48" s="18"/>
      <c r="AE48" s="22"/>
      <c r="AF48" s="23"/>
      <c r="AG48" s="23"/>
      <c r="AH48" s="24" t="s">
        <v>42</v>
      </c>
      <c r="AI48" s="24" t="s">
        <v>42</v>
      </c>
      <c r="AJ48" s="28" t="s">
        <v>42</v>
      </c>
      <c r="AK48" s="24" t="s">
        <v>42</v>
      </c>
    </row>
    <row r="49" ht="22.5" customHeight="1">
      <c r="A49" s="15"/>
      <c r="B49" s="16"/>
      <c r="C49" s="17"/>
      <c r="D49" s="17"/>
      <c r="E49" s="18"/>
      <c r="F49" s="17"/>
      <c r="G49" s="17"/>
      <c r="H49" s="16"/>
      <c r="I49" s="17"/>
      <c r="J49" s="16"/>
      <c r="K49" s="17"/>
      <c r="L49" s="17"/>
      <c r="M49" s="17"/>
      <c r="N49" s="17"/>
      <c r="O49" s="17"/>
      <c r="P49" s="19"/>
      <c r="Q49" s="16"/>
      <c r="R49" s="16"/>
      <c r="S49" s="16"/>
      <c r="T49" s="18"/>
      <c r="U49" s="16"/>
      <c r="V49" s="16"/>
      <c r="W49" s="17"/>
      <c r="X49" s="17"/>
      <c r="Y49" s="16"/>
      <c r="Z49" s="18"/>
      <c r="AA49" s="18"/>
      <c r="AB49" s="19"/>
      <c r="AC49" s="17"/>
      <c r="AD49" s="18"/>
      <c r="AE49" s="22"/>
      <c r="AF49" s="23"/>
      <c r="AG49" s="23"/>
      <c r="AH49" s="24" t="s">
        <v>42</v>
      </c>
      <c r="AI49" s="24" t="s">
        <v>42</v>
      </c>
      <c r="AJ49" s="28" t="s">
        <v>42</v>
      </c>
      <c r="AK49" s="24" t="s">
        <v>42</v>
      </c>
    </row>
    <row r="50" ht="22.5" customHeight="1">
      <c r="A50" s="15"/>
      <c r="B50" s="16"/>
      <c r="C50" s="17"/>
      <c r="D50" s="17"/>
      <c r="E50" s="18"/>
      <c r="F50" s="17"/>
      <c r="G50" s="17"/>
      <c r="H50" s="16"/>
      <c r="I50" s="17"/>
      <c r="J50" s="16"/>
      <c r="K50" s="17"/>
      <c r="L50" s="17"/>
      <c r="M50" s="17"/>
      <c r="N50" s="17"/>
      <c r="O50" s="17"/>
      <c r="P50" s="19"/>
      <c r="Q50" s="16"/>
      <c r="R50" s="16"/>
      <c r="S50" s="16"/>
      <c r="T50" s="18"/>
      <c r="U50" s="16"/>
      <c r="V50" s="16"/>
      <c r="W50" s="17"/>
      <c r="X50" s="21"/>
      <c r="Y50" s="16"/>
      <c r="Z50" s="18"/>
      <c r="AA50" s="18"/>
      <c r="AB50" s="19"/>
      <c r="AC50" s="17"/>
      <c r="AD50" s="18"/>
      <c r="AE50" s="22"/>
      <c r="AF50" s="23"/>
      <c r="AG50" s="23"/>
      <c r="AH50" s="24" t="s">
        <v>42</v>
      </c>
      <c r="AI50" s="24" t="s">
        <v>42</v>
      </c>
      <c r="AJ50" s="28" t="s">
        <v>42</v>
      </c>
      <c r="AK50" s="24" t="s">
        <v>42</v>
      </c>
    </row>
    <row r="51" ht="22.5" customHeight="1">
      <c r="A51" s="15"/>
      <c r="B51" s="16"/>
      <c r="C51" s="17"/>
      <c r="D51" s="17"/>
      <c r="E51" s="18"/>
      <c r="F51" s="17"/>
      <c r="G51" s="17"/>
      <c r="H51" s="16"/>
      <c r="I51" s="17"/>
      <c r="J51" s="16"/>
      <c r="K51" s="17"/>
      <c r="L51" s="17"/>
      <c r="M51" s="17"/>
      <c r="N51" s="17"/>
      <c r="O51" s="17"/>
      <c r="P51" s="19"/>
      <c r="Q51" s="16"/>
      <c r="R51" s="16"/>
      <c r="S51" s="16"/>
      <c r="T51" s="18"/>
      <c r="U51" s="16"/>
      <c r="V51" s="16"/>
      <c r="W51" s="17"/>
      <c r="X51" s="21"/>
      <c r="Y51" s="16"/>
      <c r="Z51" s="27"/>
      <c r="AA51" s="18"/>
      <c r="AB51" s="18"/>
      <c r="AC51" s="17"/>
      <c r="AD51" s="18"/>
      <c r="AE51" s="22"/>
      <c r="AF51" s="23"/>
      <c r="AG51" s="23"/>
      <c r="AH51" s="24" t="s">
        <v>42</v>
      </c>
      <c r="AI51" s="24" t="s">
        <v>42</v>
      </c>
      <c r="AJ51" s="28" t="s">
        <v>42</v>
      </c>
      <c r="AK51" s="24" t="s">
        <v>42</v>
      </c>
    </row>
    <row r="52" ht="22.5" customHeight="1">
      <c r="A52" s="15"/>
      <c r="B52" s="16"/>
      <c r="C52" s="17"/>
      <c r="D52" s="17"/>
      <c r="E52" s="18"/>
      <c r="F52" s="17"/>
      <c r="G52" s="17"/>
      <c r="H52" s="16"/>
      <c r="I52" s="17"/>
      <c r="J52" s="16"/>
      <c r="K52" s="19"/>
      <c r="L52" s="17"/>
      <c r="M52" s="17"/>
      <c r="N52" s="17"/>
      <c r="O52" s="17"/>
      <c r="P52" s="17"/>
      <c r="Q52" s="16"/>
      <c r="R52" s="16"/>
      <c r="S52" s="16"/>
      <c r="T52" s="18"/>
      <c r="U52" s="16"/>
      <c r="V52" s="16"/>
      <c r="W52" s="17"/>
      <c r="X52" s="17"/>
      <c r="Y52" s="16"/>
      <c r="Z52" s="27"/>
      <c r="AA52" s="18"/>
      <c r="AB52" s="19"/>
      <c r="AC52" s="17"/>
      <c r="AD52" s="18"/>
      <c r="AE52" s="22"/>
      <c r="AF52" s="23"/>
      <c r="AG52" s="23"/>
      <c r="AH52" s="24" t="s">
        <v>42</v>
      </c>
      <c r="AI52" s="24" t="s">
        <v>42</v>
      </c>
      <c r="AJ52" s="28" t="s">
        <v>42</v>
      </c>
      <c r="AK52" s="24" t="s">
        <v>42</v>
      </c>
    </row>
    <row r="53" ht="22.5" customHeight="1">
      <c r="A53" s="15"/>
      <c r="B53" s="16"/>
      <c r="C53" s="17"/>
      <c r="D53" s="17"/>
      <c r="E53" s="18"/>
      <c r="F53" s="17"/>
      <c r="G53" s="17"/>
      <c r="H53" s="16"/>
      <c r="I53" s="17"/>
      <c r="J53" s="16"/>
      <c r="K53" s="17"/>
      <c r="L53" s="17"/>
      <c r="M53" s="17"/>
      <c r="N53" s="17"/>
      <c r="O53" s="17"/>
      <c r="P53" s="19"/>
      <c r="Q53" s="16"/>
      <c r="R53" s="16"/>
      <c r="S53" s="16"/>
      <c r="T53" s="18"/>
      <c r="U53" s="16"/>
      <c r="V53" s="16"/>
      <c r="W53" s="17"/>
      <c r="X53" s="17"/>
      <c r="Y53" s="16"/>
      <c r="Z53" s="18"/>
      <c r="AA53" s="18"/>
      <c r="AB53" s="19"/>
      <c r="AC53" s="17"/>
      <c r="AD53" s="18"/>
      <c r="AE53" s="22"/>
      <c r="AF53" s="23"/>
      <c r="AG53" s="23"/>
      <c r="AH53" s="24" t="s">
        <v>42</v>
      </c>
      <c r="AI53" s="24" t="s">
        <v>42</v>
      </c>
      <c r="AJ53" s="28" t="s">
        <v>42</v>
      </c>
      <c r="AK53" s="24" t="s">
        <v>42</v>
      </c>
    </row>
    <row r="54" ht="22.5" customHeight="1">
      <c r="A54" s="15"/>
      <c r="B54" s="16"/>
      <c r="C54" s="17"/>
      <c r="D54" s="17"/>
      <c r="E54" s="18"/>
      <c r="F54" s="17"/>
      <c r="G54" s="17"/>
      <c r="H54" s="16"/>
      <c r="I54" s="17"/>
      <c r="J54" s="16"/>
      <c r="K54" s="17"/>
      <c r="L54" s="17"/>
      <c r="M54" s="17"/>
      <c r="N54" s="17"/>
      <c r="O54" s="17"/>
      <c r="P54" s="19"/>
      <c r="Q54" s="16"/>
      <c r="R54" s="16"/>
      <c r="S54" s="16"/>
      <c r="T54" s="18"/>
      <c r="U54" s="16"/>
      <c r="V54" s="16"/>
      <c r="W54" s="17"/>
      <c r="X54" s="17"/>
      <c r="Y54" s="16"/>
      <c r="Z54" s="27"/>
      <c r="AA54" s="18"/>
      <c r="AB54" s="19"/>
      <c r="AC54" s="17"/>
      <c r="AD54" s="18"/>
      <c r="AE54" s="22"/>
      <c r="AF54" s="23"/>
      <c r="AG54" s="23"/>
      <c r="AH54" s="24" t="s">
        <v>42</v>
      </c>
      <c r="AI54" s="24" t="s">
        <v>42</v>
      </c>
      <c r="AJ54" s="28" t="s">
        <v>42</v>
      </c>
      <c r="AK54" s="24" t="s">
        <v>42</v>
      </c>
    </row>
    <row r="55" ht="22.5" customHeight="1">
      <c r="A55" s="15"/>
      <c r="B55" s="16"/>
      <c r="C55" s="17"/>
      <c r="D55" s="17"/>
      <c r="E55" s="18"/>
      <c r="F55" s="17"/>
      <c r="G55" s="17"/>
      <c r="H55" s="16"/>
      <c r="I55" s="17"/>
      <c r="J55" s="16"/>
      <c r="K55" s="17"/>
      <c r="L55" s="17"/>
      <c r="M55" s="17"/>
      <c r="N55" s="17"/>
      <c r="O55" s="17"/>
      <c r="P55" s="19"/>
      <c r="Q55" s="16"/>
      <c r="R55" s="16"/>
      <c r="S55" s="16"/>
      <c r="T55" s="18"/>
      <c r="U55" s="16"/>
      <c r="V55" s="16"/>
      <c r="W55" s="17"/>
      <c r="X55" s="17"/>
      <c r="Y55" s="16"/>
      <c r="Z55" s="27"/>
      <c r="AA55" s="18"/>
      <c r="AB55" s="19"/>
      <c r="AC55" s="17"/>
      <c r="AD55" s="18"/>
      <c r="AE55" s="22"/>
      <c r="AF55" s="23"/>
      <c r="AG55" s="23"/>
      <c r="AH55" s="24" t="s">
        <v>42</v>
      </c>
      <c r="AI55" s="24" t="s">
        <v>42</v>
      </c>
      <c r="AJ55" s="28" t="s">
        <v>42</v>
      </c>
      <c r="AK55" s="24" t="s">
        <v>42</v>
      </c>
    </row>
    <row r="56" ht="22.5" customHeight="1">
      <c r="A56" s="15"/>
      <c r="B56" s="16"/>
      <c r="C56" s="17"/>
      <c r="D56" s="17"/>
      <c r="E56" s="18"/>
      <c r="F56" s="17"/>
      <c r="G56" s="17"/>
      <c r="H56" s="16"/>
      <c r="I56" s="17"/>
      <c r="J56" s="16"/>
      <c r="K56" s="17"/>
      <c r="L56" s="17"/>
      <c r="M56" s="17"/>
      <c r="N56" s="17"/>
      <c r="O56" s="17"/>
      <c r="P56" s="19"/>
      <c r="Q56" s="16"/>
      <c r="R56" s="16"/>
      <c r="S56" s="16"/>
      <c r="T56" s="18"/>
      <c r="U56" s="16"/>
      <c r="V56" s="16"/>
      <c r="W56" s="17"/>
      <c r="X56" s="17"/>
      <c r="Y56" s="16"/>
      <c r="Z56" s="18"/>
      <c r="AA56" s="18"/>
      <c r="AB56" s="17"/>
      <c r="AC56" s="17"/>
      <c r="AD56" s="18"/>
      <c r="AE56" s="22"/>
      <c r="AF56" s="23"/>
      <c r="AG56" s="23"/>
      <c r="AH56" s="24" t="s">
        <v>42</v>
      </c>
      <c r="AI56" s="24" t="s">
        <v>42</v>
      </c>
      <c r="AJ56" s="28" t="s">
        <v>42</v>
      </c>
      <c r="AK56" s="24" t="s">
        <v>42</v>
      </c>
    </row>
    <row r="57" ht="22.5" customHeight="1">
      <c r="A57" s="15"/>
      <c r="B57" s="16"/>
      <c r="C57" s="17"/>
      <c r="D57" s="17"/>
      <c r="E57" s="18"/>
      <c r="F57" s="17"/>
      <c r="G57" s="17"/>
      <c r="H57" s="16"/>
      <c r="I57" s="17"/>
      <c r="J57" s="16"/>
      <c r="K57" s="17"/>
      <c r="L57" s="17"/>
      <c r="M57" s="17"/>
      <c r="N57" s="17"/>
      <c r="O57" s="17"/>
      <c r="P57" s="19"/>
      <c r="Q57" s="16"/>
      <c r="R57" s="16"/>
      <c r="S57" s="16"/>
      <c r="T57" s="18"/>
      <c r="U57" s="16"/>
      <c r="V57" s="16"/>
      <c r="W57" s="17"/>
      <c r="X57" s="17"/>
      <c r="Y57" s="16"/>
      <c r="Z57" s="18"/>
      <c r="AA57" s="18"/>
      <c r="AB57" s="17"/>
      <c r="AC57" s="17"/>
      <c r="AD57" s="18"/>
      <c r="AE57" s="22"/>
      <c r="AF57" s="23"/>
      <c r="AG57" s="23"/>
      <c r="AH57" s="24" t="s">
        <v>42</v>
      </c>
      <c r="AI57" s="24" t="s">
        <v>42</v>
      </c>
      <c r="AJ57" s="28" t="s">
        <v>42</v>
      </c>
      <c r="AK57" s="24" t="s">
        <v>42</v>
      </c>
    </row>
    <row r="58" ht="22.5" customHeight="1">
      <c r="A58" s="15"/>
      <c r="B58" s="16"/>
      <c r="C58" s="17"/>
      <c r="D58" s="17"/>
      <c r="E58" s="18"/>
      <c r="F58" s="17"/>
      <c r="G58" s="17"/>
      <c r="H58" s="16"/>
      <c r="I58" s="17"/>
      <c r="J58" s="16"/>
      <c r="K58" s="17"/>
      <c r="L58" s="17"/>
      <c r="M58" s="17"/>
      <c r="N58" s="17"/>
      <c r="O58" s="17"/>
      <c r="P58" s="19"/>
      <c r="Q58" s="16"/>
      <c r="R58" s="16"/>
      <c r="S58" s="16"/>
      <c r="T58" s="18"/>
      <c r="U58" s="16"/>
      <c r="V58" s="16"/>
      <c r="W58" s="17"/>
      <c r="X58" s="17"/>
      <c r="Y58" s="16"/>
      <c r="Z58" s="27"/>
      <c r="AA58" s="18"/>
      <c r="AB58" s="19"/>
      <c r="AC58" s="17"/>
      <c r="AD58" s="18"/>
      <c r="AE58" s="22"/>
      <c r="AF58" s="23"/>
      <c r="AG58" s="23"/>
      <c r="AH58" s="24" t="s">
        <v>42</v>
      </c>
      <c r="AI58" s="24" t="s">
        <v>42</v>
      </c>
      <c r="AJ58" s="28" t="s">
        <v>42</v>
      </c>
      <c r="AK58" s="24" t="s">
        <v>42</v>
      </c>
    </row>
    <row r="59" ht="22.5" customHeight="1">
      <c r="A59" s="15"/>
      <c r="B59" s="16"/>
      <c r="C59" s="17"/>
      <c r="D59" s="17"/>
      <c r="E59" s="18"/>
      <c r="F59" s="17"/>
      <c r="G59" s="17"/>
      <c r="H59" s="16"/>
      <c r="I59" s="17"/>
      <c r="J59" s="16"/>
      <c r="K59" s="17"/>
      <c r="L59" s="17"/>
      <c r="M59" s="17"/>
      <c r="N59" s="17"/>
      <c r="O59" s="17"/>
      <c r="P59" s="19"/>
      <c r="Q59" s="16"/>
      <c r="R59" s="16"/>
      <c r="S59" s="16"/>
      <c r="T59" s="18"/>
      <c r="U59" s="16"/>
      <c r="V59" s="16"/>
      <c r="W59" s="17"/>
      <c r="X59" s="17"/>
      <c r="Y59" s="16"/>
      <c r="Z59" s="27"/>
      <c r="AA59" s="18"/>
      <c r="AB59" s="19"/>
      <c r="AC59" s="17"/>
      <c r="AD59" s="18"/>
      <c r="AE59" s="22"/>
      <c r="AF59" s="23"/>
      <c r="AG59" s="23"/>
      <c r="AH59" s="24" t="s">
        <v>42</v>
      </c>
      <c r="AI59" s="24" t="s">
        <v>42</v>
      </c>
      <c r="AJ59" s="28" t="s">
        <v>42</v>
      </c>
      <c r="AK59" s="24" t="s">
        <v>42</v>
      </c>
    </row>
    <row r="60" ht="22.5" customHeight="1">
      <c r="A60" s="15"/>
      <c r="B60" s="16"/>
      <c r="C60" s="17"/>
      <c r="D60" s="17"/>
      <c r="E60" s="18"/>
      <c r="F60" s="17"/>
      <c r="G60" s="17"/>
      <c r="H60" s="16"/>
      <c r="I60" s="17"/>
      <c r="J60" s="16"/>
      <c r="K60" s="17"/>
      <c r="L60" s="17"/>
      <c r="M60" s="17"/>
      <c r="N60" s="17"/>
      <c r="O60" s="17"/>
      <c r="P60" s="19"/>
      <c r="Q60" s="16"/>
      <c r="R60" s="16"/>
      <c r="S60" s="16"/>
      <c r="T60" s="18"/>
      <c r="U60" s="16"/>
      <c r="V60" s="16"/>
      <c r="W60" s="17"/>
      <c r="X60" s="17"/>
      <c r="Y60" s="16"/>
      <c r="Z60" s="27"/>
      <c r="AA60" s="18"/>
      <c r="AB60" s="19"/>
      <c r="AC60" s="17"/>
      <c r="AD60" s="18"/>
      <c r="AE60" s="22"/>
      <c r="AF60" s="23"/>
      <c r="AG60" s="23"/>
      <c r="AH60" s="24" t="s">
        <v>42</v>
      </c>
      <c r="AI60" s="24" t="s">
        <v>42</v>
      </c>
      <c r="AJ60" s="28" t="s">
        <v>42</v>
      </c>
      <c r="AK60" s="24" t="s">
        <v>42</v>
      </c>
    </row>
    <row r="61" ht="22.5" customHeight="1">
      <c r="A61" s="15"/>
      <c r="B61" s="16"/>
      <c r="C61" s="17"/>
      <c r="D61" s="17"/>
      <c r="E61" s="18"/>
      <c r="F61" s="17"/>
      <c r="G61" s="17"/>
      <c r="H61" s="16"/>
      <c r="I61" s="17"/>
      <c r="J61" s="16"/>
      <c r="K61" s="17"/>
      <c r="L61" s="17"/>
      <c r="M61" s="17"/>
      <c r="N61" s="17"/>
      <c r="O61" s="17"/>
      <c r="P61" s="19"/>
      <c r="Q61" s="16"/>
      <c r="R61" s="16"/>
      <c r="S61" s="16"/>
      <c r="T61" s="18"/>
      <c r="U61" s="16"/>
      <c r="V61" s="16"/>
      <c r="W61" s="17"/>
      <c r="X61" s="17"/>
      <c r="Y61" s="16"/>
      <c r="Z61" s="27"/>
      <c r="AA61" s="18"/>
      <c r="AB61" s="19"/>
      <c r="AC61" s="17"/>
      <c r="AD61" s="18"/>
      <c r="AE61" s="22"/>
      <c r="AF61" s="23"/>
      <c r="AG61" s="23"/>
      <c r="AH61" s="24" t="s">
        <v>42</v>
      </c>
      <c r="AI61" s="24" t="s">
        <v>42</v>
      </c>
      <c r="AJ61" s="28" t="s">
        <v>42</v>
      </c>
      <c r="AK61" s="24" t="s">
        <v>42</v>
      </c>
    </row>
    <row r="62" ht="22.5" customHeight="1">
      <c r="A62" s="15"/>
      <c r="B62" s="16"/>
      <c r="C62" s="17"/>
      <c r="D62" s="17"/>
      <c r="E62" s="18"/>
      <c r="F62" s="17"/>
      <c r="G62" s="17"/>
      <c r="H62" s="16"/>
      <c r="I62" s="17"/>
      <c r="J62" s="16"/>
      <c r="K62" s="17"/>
      <c r="L62" s="17"/>
      <c r="M62" s="17"/>
      <c r="N62" s="17"/>
      <c r="O62" s="17"/>
      <c r="P62" s="19"/>
      <c r="Q62" s="16"/>
      <c r="R62" s="16"/>
      <c r="S62" s="16"/>
      <c r="T62" s="18"/>
      <c r="U62" s="16"/>
      <c r="V62" s="16"/>
      <c r="W62" s="17"/>
      <c r="X62" s="17"/>
      <c r="Y62" s="16"/>
      <c r="Z62" s="27"/>
      <c r="AA62" s="18"/>
      <c r="AB62" s="19"/>
      <c r="AC62" s="17"/>
      <c r="AD62" s="27"/>
      <c r="AE62" s="22"/>
      <c r="AF62" s="23"/>
      <c r="AG62" s="23"/>
      <c r="AH62" s="24" t="s">
        <v>42</v>
      </c>
      <c r="AI62" s="24" t="s">
        <v>42</v>
      </c>
      <c r="AJ62" s="28" t="s">
        <v>42</v>
      </c>
      <c r="AK62" s="24" t="s">
        <v>42</v>
      </c>
    </row>
    <row r="63" ht="22.5" customHeight="1">
      <c r="A63" s="15"/>
      <c r="B63" s="16"/>
      <c r="C63" s="17"/>
      <c r="D63" s="17"/>
      <c r="E63" s="18"/>
      <c r="F63" s="17"/>
      <c r="G63" s="17"/>
      <c r="H63" s="16"/>
      <c r="I63" s="19"/>
      <c r="J63" s="16"/>
      <c r="K63" s="19"/>
      <c r="L63" s="17"/>
      <c r="M63" s="17"/>
      <c r="N63" s="17"/>
      <c r="O63" s="17"/>
      <c r="P63" s="19"/>
      <c r="Q63" s="16"/>
      <c r="R63" s="16"/>
      <c r="S63" s="16"/>
      <c r="T63" s="18"/>
      <c r="U63" s="16"/>
      <c r="V63" s="16"/>
      <c r="W63" s="17"/>
      <c r="X63" s="17"/>
      <c r="Y63" s="16"/>
      <c r="Z63" s="18"/>
      <c r="AA63" s="18"/>
      <c r="AB63" s="17"/>
      <c r="AC63" s="17"/>
      <c r="AD63" s="18"/>
      <c r="AE63" s="22"/>
      <c r="AF63" s="23"/>
      <c r="AG63" s="23"/>
      <c r="AH63" s="24" t="s">
        <v>42</v>
      </c>
      <c r="AI63" s="24" t="s">
        <v>42</v>
      </c>
      <c r="AJ63" s="28" t="s">
        <v>42</v>
      </c>
      <c r="AK63" s="24" t="s">
        <v>42</v>
      </c>
    </row>
    <row r="64" ht="22.5" customHeight="1">
      <c r="A64" s="15"/>
      <c r="B64" s="16"/>
      <c r="C64" s="17"/>
      <c r="D64" s="17"/>
      <c r="E64" s="18"/>
      <c r="F64" s="17"/>
      <c r="G64" s="17"/>
      <c r="H64" s="16"/>
      <c r="I64" s="19"/>
      <c r="J64" s="16"/>
      <c r="K64" s="17"/>
      <c r="L64" s="17"/>
      <c r="M64" s="17"/>
      <c r="N64" s="17"/>
      <c r="O64" s="17"/>
      <c r="P64" s="19"/>
      <c r="Q64" s="16"/>
      <c r="R64" s="16"/>
      <c r="S64" s="16"/>
      <c r="T64" s="18"/>
      <c r="U64" s="16"/>
      <c r="V64" s="16"/>
      <c r="W64" s="17"/>
      <c r="X64" s="29"/>
      <c r="Y64" s="16"/>
      <c r="Z64" s="27"/>
      <c r="AA64" s="18"/>
      <c r="AB64" s="19"/>
      <c r="AC64" s="17"/>
      <c r="AD64" s="18"/>
      <c r="AE64" s="22"/>
      <c r="AF64" s="23"/>
      <c r="AG64" s="23"/>
      <c r="AH64" s="24" t="s">
        <v>42</v>
      </c>
      <c r="AI64" s="24" t="s">
        <v>42</v>
      </c>
      <c r="AJ64" s="28" t="s">
        <v>42</v>
      </c>
      <c r="AK64" s="24" t="s">
        <v>42</v>
      </c>
    </row>
    <row r="65" ht="22.5" customHeight="1">
      <c r="A65" s="15"/>
      <c r="B65" s="16"/>
      <c r="C65" s="17"/>
      <c r="D65" s="17"/>
      <c r="E65" s="18"/>
      <c r="F65" s="17"/>
      <c r="G65" s="17"/>
      <c r="H65" s="16"/>
      <c r="I65" s="17"/>
      <c r="J65" s="16"/>
      <c r="K65" s="19"/>
      <c r="L65" s="17"/>
      <c r="M65" s="17"/>
      <c r="N65" s="17"/>
      <c r="O65" s="17"/>
      <c r="P65" s="17"/>
      <c r="Q65" s="16"/>
      <c r="R65" s="16"/>
      <c r="S65" s="16"/>
      <c r="T65" s="18"/>
      <c r="U65" s="16"/>
      <c r="V65" s="16"/>
      <c r="W65" s="17"/>
      <c r="X65" s="17"/>
      <c r="Y65" s="16"/>
      <c r="Z65" s="27"/>
      <c r="AA65" s="18"/>
      <c r="AB65" s="19"/>
      <c r="AC65" s="17"/>
      <c r="AD65" s="18"/>
      <c r="AE65" s="22"/>
      <c r="AF65" s="23"/>
      <c r="AG65" s="23"/>
      <c r="AH65" s="24" t="s">
        <v>42</v>
      </c>
      <c r="AI65" s="24" t="s">
        <v>42</v>
      </c>
      <c r="AJ65" s="28" t="s">
        <v>42</v>
      </c>
      <c r="AK65" s="24" t="s">
        <v>42</v>
      </c>
    </row>
    <row r="66" ht="22.5" customHeight="1">
      <c r="A66" s="15"/>
      <c r="B66" s="16"/>
      <c r="C66" s="17"/>
      <c r="D66" s="17"/>
      <c r="E66" s="18"/>
      <c r="F66" s="17"/>
      <c r="G66" s="17"/>
      <c r="H66" s="16"/>
      <c r="I66" s="19"/>
      <c r="J66" s="16"/>
      <c r="K66" s="19"/>
      <c r="L66" s="17"/>
      <c r="M66" s="17"/>
      <c r="N66" s="17"/>
      <c r="O66" s="17"/>
      <c r="P66" s="17"/>
      <c r="Q66" s="16"/>
      <c r="R66" s="16"/>
      <c r="S66" s="16"/>
      <c r="T66" s="18"/>
      <c r="U66" s="16"/>
      <c r="V66" s="16"/>
      <c r="W66" s="17"/>
      <c r="X66" s="17"/>
      <c r="Y66" s="16"/>
      <c r="Z66" s="27"/>
      <c r="AA66" s="18"/>
      <c r="AB66" s="19"/>
      <c r="AC66" s="17"/>
      <c r="AD66" s="18"/>
      <c r="AE66" s="22"/>
      <c r="AF66" s="23"/>
      <c r="AG66" s="23"/>
      <c r="AH66" s="24" t="s">
        <v>42</v>
      </c>
      <c r="AI66" s="24" t="s">
        <v>42</v>
      </c>
      <c r="AJ66" s="28" t="s">
        <v>42</v>
      </c>
      <c r="AK66" s="24" t="s">
        <v>42</v>
      </c>
    </row>
    <row r="67" ht="22.5" customHeight="1">
      <c r="A67" s="15"/>
      <c r="B67" s="16"/>
      <c r="C67" s="17"/>
      <c r="D67" s="17"/>
      <c r="E67" s="18"/>
      <c r="F67" s="17"/>
      <c r="G67" s="17"/>
      <c r="H67" s="16"/>
      <c r="I67" s="17"/>
      <c r="J67" s="16"/>
      <c r="K67" s="17"/>
      <c r="L67" s="17"/>
      <c r="M67" s="17"/>
      <c r="N67" s="17"/>
      <c r="O67" s="17"/>
      <c r="P67" s="19"/>
      <c r="Q67" s="16"/>
      <c r="R67" s="16"/>
      <c r="S67" s="16"/>
      <c r="T67" s="18"/>
      <c r="U67" s="16"/>
      <c r="V67" s="16"/>
      <c r="W67" s="17"/>
      <c r="X67" s="17"/>
      <c r="Y67" s="16"/>
      <c r="AA67" s="18"/>
      <c r="AB67" s="18"/>
      <c r="AC67" s="17"/>
      <c r="AD67" s="18"/>
      <c r="AE67" s="16"/>
      <c r="AF67" s="23"/>
      <c r="AG67" s="23"/>
      <c r="AH67" s="24" t="s">
        <v>42</v>
      </c>
      <c r="AI67" s="24" t="s">
        <v>42</v>
      </c>
      <c r="AJ67" s="28" t="s">
        <v>42</v>
      </c>
      <c r="AK67" s="24" t="s">
        <v>42</v>
      </c>
    </row>
    <row r="68" ht="22.5" customHeight="1">
      <c r="A68" s="15"/>
      <c r="B68" s="16"/>
      <c r="C68" s="17"/>
      <c r="D68" s="17"/>
      <c r="E68" s="18"/>
      <c r="F68" s="17"/>
      <c r="G68" s="17"/>
      <c r="H68" s="16"/>
      <c r="I68" s="17"/>
      <c r="J68" s="16"/>
      <c r="K68" s="17"/>
      <c r="L68" s="17"/>
      <c r="M68" s="17"/>
      <c r="N68" s="17"/>
      <c r="O68" s="17"/>
      <c r="P68" s="19"/>
      <c r="Q68" s="16"/>
      <c r="R68" s="16"/>
      <c r="S68" s="16"/>
      <c r="T68" s="18"/>
      <c r="U68" s="16"/>
      <c r="V68" s="16"/>
      <c r="W68" s="17"/>
      <c r="X68" s="17"/>
      <c r="Y68" s="16"/>
      <c r="Z68" s="18"/>
      <c r="AA68" s="18"/>
      <c r="AB68" s="18"/>
      <c r="AC68" s="17"/>
      <c r="AD68" s="27"/>
      <c r="AE68" s="22"/>
      <c r="AF68" s="23"/>
      <c r="AG68" s="23"/>
      <c r="AH68" s="24" t="s">
        <v>42</v>
      </c>
      <c r="AI68" s="24" t="s">
        <v>42</v>
      </c>
      <c r="AJ68" s="28" t="s">
        <v>42</v>
      </c>
      <c r="AK68" s="24" t="s">
        <v>42</v>
      </c>
    </row>
    <row r="69" ht="22.5" customHeight="1">
      <c r="A69" s="15"/>
      <c r="B69" s="16"/>
      <c r="C69" s="17"/>
      <c r="D69" s="17"/>
      <c r="E69" s="18"/>
      <c r="F69" s="17"/>
      <c r="G69" s="17"/>
      <c r="H69" s="16"/>
      <c r="I69" s="17"/>
      <c r="J69" s="16"/>
      <c r="K69" s="17"/>
      <c r="L69" s="17"/>
      <c r="M69" s="17"/>
      <c r="N69" s="17"/>
      <c r="O69" s="17"/>
      <c r="P69" s="19"/>
      <c r="Q69" s="16"/>
      <c r="R69" s="16"/>
      <c r="S69" s="16"/>
      <c r="T69" s="18"/>
      <c r="U69" s="16"/>
      <c r="V69" s="16"/>
      <c r="W69" s="17"/>
      <c r="X69" s="17"/>
      <c r="Y69" s="16"/>
      <c r="Z69" s="18"/>
      <c r="AA69" s="18"/>
      <c r="AB69" s="18"/>
      <c r="AC69" s="17"/>
      <c r="AD69" s="27"/>
      <c r="AE69" s="22"/>
      <c r="AF69" s="23"/>
      <c r="AG69" s="23"/>
      <c r="AH69" s="24" t="s">
        <v>42</v>
      </c>
      <c r="AI69" s="24" t="s">
        <v>42</v>
      </c>
      <c r="AJ69" s="28" t="s">
        <v>42</v>
      </c>
      <c r="AK69" s="24" t="s">
        <v>42</v>
      </c>
    </row>
    <row r="70" ht="22.5" customHeight="1">
      <c r="A70" s="15"/>
      <c r="B70" s="16"/>
      <c r="C70" s="17"/>
      <c r="D70" s="17"/>
      <c r="E70" s="18"/>
      <c r="F70" s="17"/>
      <c r="G70" s="17"/>
      <c r="H70" s="16"/>
      <c r="I70" s="17"/>
      <c r="J70" s="16"/>
      <c r="K70" s="17"/>
      <c r="L70" s="17"/>
      <c r="M70" s="17"/>
      <c r="N70" s="17"/>
      <c r="O70" s="17"/>
      <c r="P70" s="19"/>
      <c r="Q70" s="16"/>
      <c r="R70" s="16"/>
      <c r="S70" s="16"/>
      <c r="T70" s="18"/>
      <c r="U70" s="16"/>
      <c r="V70" s="16"/>
      <c r="W70" s="17"/>
      <c r="X70" s="17"/>
      <c r="Y70" s="16"/>
      <c r="Z70" s="18"/>
      <c r="AA70" s="18"/>
      <c r="AB70" s="17"/>
      <c r="AC70" s="17"/>
      <c r="AD70" s="27"/>
      <c r="AE70" s="22"/>
      <c r="AF70" s="23"/>
      <c r="AG70" s="23"/>
      <c r="AH70" s="24" t="s">
        <v>42</v>
      </c>
      <c r="AI70" s="24" t="s">
        <v>42</v>
      </c>
      <c r="AJ70" s="28" t="s">
        <v>42</v>
      </c>
      <c r="AK70" s="24" t="s">
        <v>42</v>
      </c>
    </row>
    <row r="71" ht="22.5" customHeight="1">
      <c r="A71" s="15"/>
      <c r="B71" s="16"/>
      <c r="C71" s="17"/>
      <c r="D71" s="17"/>
      <c r="E71" s="18"/>
      <c r="F71" s="17"/>
      <c r="G71" s="17"/>
      <c r="H71" s="16"/>
      <c r="I71" s="17"/>
      <c r="J71" s="16"/>
      <c r="K71" s="17"/>
      <c r="L71" s="17"/>
      <c r="M71" s="17"/>
      <c r="N71" s="17"/>
      <c r="O71" s="17"/>
      <c r="P71" s="19"/>
      <c r="Q71" s="16"/>
      <c r="R71" s="16"/>
      <c r="S71" s="16"/>
      <c r="T71" s="18"/>
      <c r="U71" s="16"/>
      <c r="V71" s="16"/>
      <c r="W71" s="17"/>
      <c r="X71" s="17"/>
      <c r="Y71" s="16"/>
      <c r="Z71" s="18"/>
      <c r="AA71" s="18"/>
      <c r="AB71" s="17"/>
      <c r="AC71" s="17"/>
      <c r="AD71" s="18"/>
      <c r="AE71" s="22"/>
      <c r="AF71" s="23"/>
      <c r="AG71" s="23"/>
      <c r="AH71" s="24" t="s">
        <v>42</v>
      </c>
      <c r="AI71" s="24" t="s">
        <v>42</v>
      </c>
      <c r="AJ71" s="28" t="s">
        <v>42</v>
      </c>
      <c r="AK71" s="24" t="s">
        <v>42</v>
      </c>
    </row>
    <row r="72" ht="22.5" customHeight="1">
      <c r="A72" s="15"/>
      <c r="B72" s="16"/>
      <c r="C72" s="17"/>
      <c r="D72" s="17"/>
      <c r="E72" s="18"/>
      <c r="F72" s="17"/>
      <c r="G72" s="17"/>
      <c r="H72" s="16"/>
      <c r="I72" s="17"/>
      <c r="J72" s="16"/>
      <c r="K72" s="17"/>
      <c r="L72" s="17"/>
      <c r="M72" s="17"/>
      <c r="N72" s="17"/>
      <c r="O72" s="17"/>
      <c r="P72" s="19"/>
      <c r="Q72" s="16"/>
      <c r="R72" s="16"/>
      <c r="S72" s="16"/>
      <c r="T72" s="18"/>
      <c r="U72" s="16"/>
      <c r="V72" s="16"/>
      <c r="W72" s="17"/>
      <c r="X72" s="17"/>
      <c r="Y72" s="16"/>
      <c r="Z72" s="18"/>
      <c r="AA72" s="18"/>
      <c r="AB72" s="18"/>
      <c r="AC72" s="17"/>
      <c r="AD72" s="18"/>
      <c r="AE72" s="22"/>
      <c r="AF72" s="23"/>
      <c r="AG72" s="23"/>
      <c r="AH72" s="24" t="s">
        <v>42</v>
      </c>
      <c r="AI72" s="24" t="s">
        <v>42</v>
      </c>
      <c r="AJ72" s="28" t="s">
        <v>42</v>
      </c>
      <c r="AK72" s="24" t="s">
        <v>42</v>
      </c>
    </row>
    <row r="73" ht="22.5" customHeight="1">
      <c r="A73" s="15"/>
      <c r="B73" s="16"/>
      <c r="C73" s="17"/>
      <c r="D73" s="17"/>
      <c r="E73" s="18"/>
      <c r="F73" s="17"/>
      <c r="G73" s="17"/>
      <c r="H73" s="16"/>
      <c r="I73" s="17"/>
      <c r="J73" s="16"/>
      <c r="K73" s="17"/>
      <c r="L73" s="17"/>
      <c r="M73" s="17"/>
      <c r="N73" s="17"/>
      <c r="O73" s="17"/>
      <c r="P73" s="19"/>
      <c r="Q73" s="16"/>
      <c r="R73" s="16"/>
      <c r="S73" s="16"/>
      <c r="T73" s="18"/>
      <c r="U73" s="16"/>
      <c r="V73" s="16"/>
      <c r="W73" s="17"/>
      <c r="X73" s="30"/>
      <c r="Y73" s="16"/>
      <c r="Z73" s="18"/>
      <c r="AA73" s="19"/>
      <c r="AB73" s="19"/>
      <c r="AC73" s="17"/>
      <c r="AD73" s="18"/>
      <c r="AE73" s="22"/>
      <c r="AF73" s="23"/>
      <c r="AG73" s="23"/>
      <c r="AH73" s="24" t="s">
        <v>42</v>
      </c>
      <c r="AI73" s="24" t="s">
        <v>42</v>
      </c>
      <c r="AJ73" s="28" t="s">
        <v>42</v>
      </c>
      <c r="AK73" s="24" t="s">
        <v>42</v>
      </c>
    </row>
    <row r="74" ht="22.5" customHeight="1">
      <c r="A74" s="15"/>
      <c r="B74" s="16"/>
      <c r="C74" s="17"/>
      <c r="D74" s="17"/>
      <c r="E74" s="18"/>
      <c r="F74" s="17"/>
      <c r="G74" s="17"/>
      <c r="H74" s="16"/>
      <c r="I74" s="17"/>
      <c r="J74" s="16"/>
      <c r="K74" s="17"/>
      <c r="L74" s="17"/>
      <c r="M74" s="17"/>
      <c r="N74" s="17"/>
      <c r="O74" s="17"/>
      <c r="P74" s="19"/>
      <c r="Q74" s="16"/>
      <c r="R74" s="16"/>
      <c r="S74" s="16"/>
      <c r="T74" s="18"/>
      <c r="U74" s="16"/>
      <c r="V74" s="16"/>
      <c r="W74" s="17"/>
      <c r="X74" s="17"/>
      <c r="Y74" s="16"/>
      <c r="Z74" s="18"/>
      <c r="AA74" s="17"/>
      <c r="AB74" s="17"/>
      <c r="AC74" s="17"/>
      <c r="AD74" s="18"/>
      <c r="AE74" s="22"/>
      <c r="AF74" s="23"/>
      <c r="AG74" s="23"/>
      <c r="AH74" s="24" t="s">
        <v>42</v>
      </c>
      <c r="AI74" s="24" t="s">
        <v>42</v>
      </c>
      <c r="AJ74" s="28" t="s">
        <v>42</v>
      </c>
      <c r="AK74" s="24" t="s">
        <v>42</v>
      </c>
    </row>
    <row r="75" ht="22.5" customHeight="1">
      <c r="A75" s="15"/>
      <c r="B75" s="16"/>
      <c r="C75" s="17"/>
      <c r="D75" s="17"/>
      <c r="E75" s="18"/>
      <c r="F75" s="17"/>
      <c r="G75" s="17"/>
      <c r="H75" s="16"/>
      <c r="I75" s="17"/>
      <c r="J75" s="16"/>
      <c r="K75" s="17"/>
      <c r="L75" s="17"/>
      <c r="M75" s="17"/>
      <c r="N75" s="17"/>
      <c r="O75" s="17"/>
      <c r="P75" s="19"/>
      <c r="Q75" s="16"/>
      <c r="R75" s="16"/>
      <c r="S75" s="16"/>
      <c r="T75" s="18"/>
      <c r="U75" s="16"/>
      <c r="V75" s="16"/>
      <c r="W75" s="17"/>
      <c r="X75" s="17"/>
      <c r="Y75" s="16"/>
      <c r="Z75" s="18"/>
      <c r="AA75" s="17"/>
      <c r="AB75" s="19"/>
      <c r="AC75" s="17"/>
      <c r="AD75" s="18"/>
      <c r="AE75" s="22"/>
      <c r="AF75" s="23"/>
      <c r="AG75" s="23"/>
      <c r="AH75" s="24" t="s">
        <v>42</v>
      </c>
      <c r="AI75" s="24" t="s">
        <v>42</v>
      </c>
      <c r="AJ75" s="28" t="s">
        <v>42</v>
      </c>
      <c r="AK75" s="24" t="s">
        <v>42</v>
      </c>
    </row>
    <row r="76" ht="22.5" customHeight="1">
      <c r="A76" s="15"/>
      <c r="B76" s="16"/>
      <c r="C76" s="17"/>
      <c r="D76" s="17"/>
      <c r="E76" s="18"/>
      <c r="F76" s="17"/>
      <c r="G76" s="17"/>
      <c r="H76" s="16"/>
      <c r="I76" s="17"/>
      <c r="J76" s="16"/>
      <c r="K76" s="17"/>
      <c r="L76" s="17"/>
      <c r="M76" s="17"/>
      <c r="N76" s="17"/>
      <c r="O76" s="17"/>
      <c r="P76" s="19"/>
      <c r="Q76" s="16"/>
      <c r="R76" s="16"/>
      <c r="S76" s="16"/>
      <c r="T76" s="18"/>
      <c r="U76" s="16"/>
      <c r="V76" s="16"/>
      <c r="W76" s="17"/>
      <c r="X76" s="17"/>
      <c r="Y76" s="16"/>
      <c r="Z76" s="18"/>
      <c r="AA76" s="17"/>
      <c r="AB76" s="19"/>
      <c r="AC76" s="17"/>
      <c r="AD76" s="18"/>
      <c r="AE76" s="22"/>
      <c r="AF76" s="23"/>
      <c r="AG76" s="23"/>
      <c r="AH76" s="24" t="s">
        <v>42</v>
      </c>
      <c r="AI76" s="24" t="s">
        <v>42</v>
      </c>
      <c r="AJ76" s="28" t="s">
        <v>42</v>
      </c>
      <c r="AK76" s="24" t="s">
        <v>42</v>
      </c>
    </row>
    <row r="77" ht="22.5" customHeight="1">
      <c r="A77" s="15"/>
      <c r="B77" s="16"/>
      <c r="C77" s="17"/>
      <c r="D77" s="17"/>
      <c r="E77" s="18"/>
      <c r="F77" s="17"/>
      <c r="G77" s="17"/>
      <c r="H77" s="16"/>
      <c r="I77" s="17"/>
      <c r="J77" s="16"/>
      <c r="K77" s="17"/>
      <c r="L77" s="17"/>
      <c r="M77" s="17"/>
      <c r="N77" s="17"/>
      <c r="O77" s="17"/>
      <c r="P77" s="19"/>
      <c r="Q77" s="16"/>
      <c r="R77" s="16"/>
      <c r="S77" s="16"/>
      <c r="T77" s="18"/>
      <c r="U77" s="16"/>
      <c r="V77" s="16"/>
      <c r="W77" s="17"/>
      <c r="X77" s="17"/>
      <c r="Y77" s="16"/>
      <c r="Z77" s="18"/>
      <c r="AA77" s="17"/>
      <c r="AB77" s="19"/>
      <c r="AC77" s="17"/>
      <c r="AD77" s="18"/>
      <c r="AE77" s="22"/>
      <c r="AF77" s="23"/>
      <c r="AG77" s="23"/>
      <c r="AH77" s="24" t="s">
        <v>42</v>
      </c>
      <c r="AI77" s="24" t="s">
        <v>42</v>
      </c>
      <c r="AJ77" s="28" t="s">
        <v>42</v>
      </c>
      <c r="AK77" s="24" t="s">
        <v>42</v>
      </c>
    </row>
    <row r="78" ht="22.5" customHeight="1">
      <c r="A78" s="15"/>
      <c r="B78" s="16"/>
      <c r="C78" s="17"/>
      <c r="D78" s="17"/>
      <c r="E78" s="18"/>
      <c r="F78" s="17"/>
      <c r="G78" s="17"/>
      <c r="H78" s="16"/>
      <c r="I78" s="17"/>
      <c r="J78" s="16"/>
      <c r="K78" s="17"/>
      <c r="L78" s="17"/>
      <c r="M78" s="17"/>
      <c r="N78" s="17"/>
      <c r="O78" s="17"/>
      <c r="P78" s="19"/>
      <c r="Q78" s="16"/>
      <c r="R78" s="16"/>
      <c r="S78" s="16"/>
      <c r="T78" s="18"/>
      <c r="U78" s="16"/>
      <c r="V78" s="16"/>
      <c r="W78" s="17"/>
      <c r="X78" s="17"/>
      <c r="Y78" s="16"/>
      <c r="Z78" s="27"/>
      <c r="AA78" s="17"/>
      <c r="AB78" s="19"/>
      <c r="AC78" s="17"/>
      <c r="AD78" s="18"/>
      <c r="AE78" s="22"/>
      <c r="AF78" s="23"/>
      <c r="AG78" s="23"/>
      <c r="AH78" s="24" t="s">
        <v>42</v>
      </c>
      <c r="AI78" s="24" t="s">
        <v>42</v>
      </c>
      <c r="AJ78" s="28" t="s">
        <v>42</v>
      </c>
      <c r="AK78" s="24" t="s">
        <v>42</v>
      </c>
    </row>
    <row r="79" ht="22.5" customHeight="1">
      <c r="A79" s="15"/>
      <c r="B79" s="16"/>
      <c r="C79" s="17"/>
      <c r="D79" s="17"/>
      <c r="E79" s="18"/>
      <c r="F79" s="17"/>
      <c r="G79" s="17"/>
      <c r="H79" s="16"/>
      <c r="I79" s="17"/>
      <c r="J79" s="16"/>
      <c r="K79" s="17"/>
      <c r="L79" s="17"/>
      <c r="M79" s="17"/>
      <c r="N79" s="17"/>
      <c r="O79" s="17"/>
      <c r="P79" s="19"/>
      <c r="Q79" s="16"/>
      <c r="R79" s="16"/>
      <c r="S79" s="16"/>
      <c r="T79" s="18"/>
      <c r="U79" s="16"/>
      <c r="V79" s="16"/>
      <c r="W79" s="17"/>
      <c r="X79" s="17"/>
      <c r="Y79" s="16"/>
      <c r="Z79" s="27"/>
      <c r="AA79" s="17"/>
      <c r="AB79" s="19"/>
      <c r="AC79" s="17"/>
      <c r="AD79" s="18"/>
      <c r="AE79" s="22"/>
      <c r="AF79" s="23"/>
      <c r="AG79" s="23"/>
      <c r="AH79" s="24" t="s">
        <v>42</v>
      </c>
      <c r="AI79" s="24" t="s">
        <v>42</v>
      </c>
      <c r="AJ79" s="28" t="s">
        <v>42</v>
      </c>
      <c r="AK79" s="24" t="s">
        <v>42</v>
      </c>
    </row>
    <row r="80" ht="22.5" customHeight="1">
      <c r="A80" s="15"/>
      <c r="B80" s="16"/>
      <c r="C80" s="17"/>
      <c r="D80" s="17"/>
      <c r="E80" s="18"/>
      <c r="F80" s="17"/>
      <c r="G80" s="17"/>
      <c r="H80" s="16"/>
      <c r="I80" s="17"/>
      <c r="J80" s="16"/>
      <c r="K80" s="17"/>
      <c r="L80" s="17"/>
      <c r="M80" s="17"/>
      <c r="N80" s="17"/>
      <c r="O80" s="17"/>
      <c r="P80" s="19"/>
      <c r="Q80" s="16"/>
      <c r="R80" s="16"/>
      <c r="S80" s="16"/>
      <c r="T80" s="18"/>
      <c r="U80" s="16"/>
      <c r="V80" s="16"/>
      <c r="W80" s="17"/>
      <c r="X80" s="17"/>
      <c r="Y80" s="16"/>
      <c r="Z80" s="18"/>
      <c r="AA80" s="17"/>
      <c r="AB80" s="19"/>
      <c r="AC80" s="17"/>
      <c r="AD80" s="18"/>
      <c r="AE80" s="22"/>
      <c r="AF80" s="23"/>
      <c r="AG80" s="23"/>
      <c r="AH80" s="24" t="s">
        <v>42</v>
      </c>
      <c r="AI80" s="24" t="s">
        <v>42</v>
      </c>
      <c r="AJ80" s="28" t="s">
        <v>42</v>
      </c>
      <c r="AK80" s="24" t="s">
        <v>42</v>
      </c>
    </row>
    <row r="81" ht="22.5" customHeight="1">
      <c r="A81" s="15"/>
      <c r="B81" s="16"/>
      <c r="C81" s="17"/>
      <c r="D81" s="17"/>
      <c r="E81" s="18"/>
      <c r="F81" s="17"/>
      <c r="G81" s="17"/>
      <c r="H81" s="16"/>
      <c r="I81" s="17"/>
      <c r="J81" s="16"/>
      <c r="K81" s="17"/>
      <c r="L81" s="17"/>
      <c r="M81" s="17"/>
      <c r="N81" s="17"/>
      <c r="O81" s="17"/>
      <c r="P81" s="19"/>
      <c r="Q81" s="16"/>
      <c r="R81" s="16"/>
      <c r="S81" s="16"/>
      <c r="T81" s="18"/>
      <c r="U81" s="16"/>
      <c r="V81" s="16"/>
      <c r="W81" s="17"/>
      <c r="X81" s="17"/>
      <c r="Y81" s="16"/>
      <c r="Z81" s="18"/>
      <c r="AA81" s="17"/>
      <c r="AB81" s="19"/>
      <c r="AC81" s="17"/>
      <c r="AD81" s="18"/>
      <c r="AE81" s="22"/>
      <c r="AF81" s="23"/>
      <c r="AG81" s="23"/>
      <c r="AH81" s="24" t="s">
        <v>42</v>
      </c>
      <c r="AI81" s="24" t="s">
        <v>42</v>
      </c>
      <c r="AJ81" s="28" t="s">
        <v>42</v>
      </c>
      <c r="AK81" s="24" t="s">
        <v>42</v>
      </c>
    </row>
    <row r="82" ht="22.5" customHeight="1">
      <c r="A82" s="15"/>
      <c r="B82" s="16"/>
      <c r="C82" s="17"/>
      <c r="D82" s="17"/>
      <c r="E82" s="18"/>
      <c r="F82" s="17"/>
      <c r="G82" s="17"/>
      <c r="H82" s="16"/>
      <c r="I82" s="17"/>
      <c r="J82" s="16"/>
      <c r="K82" s="17"/>
      <c r="L82" s="17"/>
      <c r="M82" s="17"/>
      <c r="N82" s="17"/>
      <c r="O82" s="17"/>
      <c r="P82" s="19"/>
      <c r="Q82" s="16"/>
      <c r="R82" s="16"/>
      <c r="S82" s="16"/>
      <c r="T82" s="18"/>
      <c r="U82" s="16"/>
      <c r="V82" s="16"/>
      <c r="W82" s="17"/>
      <c r="X82" s="17"/>
      <c r="Y82" s="16"/>
      <c r="Z82" s="18"/>
      <c r="AA82" s="17"/>
      <c r="AB82" s="19"/>
      <c r="AC82" s="17"/>
      <c r="AD82" s="18"/>
      <c r="AE82" s="22"/>
      <c r="AF82" s="23"/>
      <c r="AG82" s="23"/>
      <c r="AH82" s="24" t="s">
        <v>42</v>
      </c>
      <c r="AI82" s="24" t="s">
        <v>42</v>
      </c>
      <c r="AJ82" s="28" t="s">
        <v>42</v>
      </c>
      <c r="AK82" s="24" t="s">
        <v>42</v>
      </c>
    </row>
    <row r="83" ht="22.5" customHeight="1">
      <c r="A83" s="15"/>
      <c r="B83" s="16"/>
      <c r="C83" s="17"/>
      <c r="D83" s="17"/>
      <c r="E83" s="18"/>
      <c r="F83" s="17"/>
      <c r="G83" s="17"/>
      <c r="H83" s="16"/>
      <c r="I83" s="17"/>
      <c r="J83" s="16"/>
      <c r="K83" s="17"/>
      <c r="L83" s="17"/>
      <c r="M83" s="17"/>
      <c r="N83" s="17"/>
      <c r="O83" s="17"/>
      <c r="P83" s="19"/>
      <c r="Q83" s="16"/>
      <c r="R83" s="16"/>
      <c r="S83" s="16"/>
      <c r="T83" s="18"/>
      <c r="U83" s="16"/>
      <c r="V83" s="16"/>
      <c r="W83" s="17"/>
      <c r="X83" s="17"/>
      <c r="Y83" s="16"/>
      <c r="Z83" s="18"/>
      <c r="AA83" s="17"/>
      <c r="AB83" s="19"/>
      <c r="AC83" s="17"/>
      <c r="AD83" s="18"/>
      <c r="AE83" s="22"/>
      <c r="AF83" s="23"/>
      <c r="AG83" s="23"/>
      <c r="AH83" s="24" t="s">
        <v>42</v>
      </c>
      <c r="AI83" s="24" t="s">
        <v>42</v>
      </c>
      <c r="AJ83" s="28" t="s">
        <v>42</v>
      </c>
      <c r="AK83" s="24" t="s">
        <v>42</v>
      </c>
    </row>
    <row r="84" ht="22.5" customHeight="1">
      <c r="A84" s="15"/>
      <c r="B84" s="16"/>
      <c r="C84" s="17"/>
      <c r="D84" s="17"/>
      <c r="E84" s="18"/>
      <c r="F84" s="17"/>
      <c r="G84" s="17"/>
      <c r="H84" s="16"/>
      <c r="I84" s="17"/>
      <c r="J84" s="16"/>
      <c r="K84" s="17"/>
      <c r="L84" s="17"/>
      <c r="M84" s="17"/>
      <c r="N84" s="17"/>
      <c r="O84" s="17"/>
      <c r="P84" s="19"/>
      <c r="Q84" s="16"/>
      <c r="R84" s="16"/>
      <c r="S84" s="16"/>
      <c r="T84" s="18"/>
      <c r="U84" s="16"/>
      <c r="V84" s="16"/>
      <c r="W84" s="17"/>
      <c r="X84" s="17"/>
      <c r="Y84" s="16"/>
      <c r="Z84" s="18"/>
      <c r="AA84" s="17"/>
      <c r="AB84" s="19"/>
      <c r="AC84" s="17"/>
      <c r="AD84" s="18"/>
      <c r="AE84" s="22"/>
      <c r="AF84" s="23"/>
      <c r="AG84" s="23"/>
      <c r="AH84" s="24" t="s">
        <v>42</v>
      </c>
      <c r="AI84" s="24" t="s">
        <v>42</v>
      </c>
      <c r="AJ84" s="28" t="s">
        <v>42</v>
      </c>
      <c r="AK84" s="24" t="s">
        <v>42</v>
      </c>
    </row>
    <row r="85" ht="22.5" customHeight="1">
      <c r="A85" s="15"/>
      <c r="B85" s="16"/>
      <c r="C85" s="17"/>
      <c r="D85" s="17"/>
      <c r="E85" s="18"/>
      <c r="F85" s="17"/>
      <c r="G85" s="17"/>
      <c r="H85" s="16"/>
      <c r="I85" s="17"/>
      <c r="J85" s="16"/>
      <c r="K85" s="17"/>
      <c r="L85" s="17"/>
      <c r="M85" s="17"/>
      <c r="N85" s="17"/>
      <c r="O85" s="17"/>
      <c r="P85" s="19"/>
      <c r="Q85" s="16"/>
      <c r="R85" s="16"/>
      <c r="S85" s="16"/>
      <c r="T85" s="18"/>
      <c r="U85" s="16"/>
      <c r="V85" s="16"/>
      <c r="W85" s="17"/>
      <c r="X85" s="17"/>
      <c r="Y85" s="16"/>
      <c r="Z85" s="18"/>
      <c r="AA85" s="17"/>
      <c r="AB85" s="19"/>
      <c r="AC85" s="17"/>
      <c r="AD85" s="18"/>
      <c r="AE85" s="22"/>
      <c r="AF85" s="23"/>
      <c r="AG85" s="23"/>
      <c r="AH85" s="24" t="s">
        <v>42</v>
      </c>
      <c r="AI85" s="24" t="s">
        <v>42</v>
      </c>
      <c r="AJ85" s="28" t="s">
        <v>42</v>
      </c>
      <c r="AK85" s="24" t="s">
        <v>42</v>
      </c>
    </row>
    <row r="86" ht="22.5" customHeight="1">
      <c r="A86" s="15"/>
      <c r="B86" s="16"/>
      <c r="C86" s="17"/>
      <c r="D86" s="17"/>
      <c r="E86" s="18"/>
      <c r="F86" s="17"/>
      <c r="G86" s="17"/>
      <c r="H86" s="16"/>
      <c r="I86" s="17"/>
      <c r="J86" s="16"/>
      <c r="K86" s="17"/>
      <c r="L86" s="17"/>
      <c r="M86" s="17"/>
      <c r="N86" s="17"/>
      <c r="O86" s="17"/>
      <c r="P86" s="19"/>
      <c r="Q86" s="16"/>
      <c r="R86" s="16"/>
      <c r="S86" s="16"/>
      <c r="T86" s="18"/>
      <c r="U86" s="16"/>
      <c r="V86" s="16"/>
      <c r="W86" s="17"/>
      <c r="X86" s="17"/>
      <c r="Y86" s="16"/>
      <c r="Z86" s="18"/>
      <c r="AA86" s="18"/>
      <c r="AB86" s="18"/>
      <c r="AC86" s="17"/>
      <c r="AD86" s="18"/>
      <c r="AE86" s="22"/>
      <c r="AF86" s="23"/>
      <c r="AG86" s="23"/>
      <c r="AH86" s="24" t="s">
        <v>42</v>
      </c>
      <c r="AI86" s="24" t="s">
        <v>42</v>
      </c>
      <c r="AJ86" s="28" t="s">
        <v>42</v>
      </c>
      <c r="AK86" s="24" t="s">
        <v>42</v>
      </c>
    </row>
    <row r="87" ht="22.5" customHeight="1">
      <c r="A87" s="15"/>
      <c r="B87" s="16"/>
      <c r="C87" s="17"/>
      <c r="D87" s="17"/>
      <c r="E87" s="18"/>
      <c r="F87" s="17"/>
      <c r="G87" s="17"/>
      <c r="H87" s="16"/>
      <c r="I87" s="17"/>
      <c r="J87" s="16"/>
      <c r="K87" s="17"/>
      <c r="L87" s="17"/>
      <c r="M87" s="17"/>
      <c r="N87" s="17"/>
      <c r="O87" s="17"/>
      <c r="P87" s="19"/>
      <c r="Q87" s="16"/>
      <c r="R87" s="16"/>
      <c r="S87" s="16"/>
      <c r="T87" s="18"/>
      <c r="U87" s="16"/>
      <c r="V87" s="16"/>
      <c r="W87" s="17"/>
      <c r="X87" s="17"/>
      <c r="Y87" s="16"/>
      <c r="Z87" s="18"/>
      <c r="AA87" s="19"/>
      <c r="AB87" s="19"/>
      <c r="AC87" s="17"/>
      <c r="AD87" s="27"/>
      <c r="AE87" s="22"/>
      <c r="AF87" s="23"/>
      <c r="AG87" s="23"/>
      <c r="AH87" s="24" t="s">
        <v>42</v>
      </c>
      <c r="AI87" s="24" t="s">
        <v>42</v>
      </c>
      <c r="AJ87" s="28" t="s">
        <v>42</v>
      </c>
      <c r="AK87" s="24" t="s">
        <v>42</v>
      </c>
    </row>
    <row r="88" ht="22.5" customHeight="1">
      <c r="A88" s="15"/>
      <c r="B88" s="16"/>
      <c r="C88" s="17"/>
      <c r="D88" s="17"/>
      <c r="E88" s="18"/>
      <c r="F88" s="17"/>
      <c r="G88" s="17"/>
      <c r="H88" s="16"/>
      <c r="I88" s="17"/>
      <c r="J88" s="16"/>
      <c r="K88" s="17"/>
      <c r="L88" s="17"/>
      <c r="M88" s="17"/>
      <c r="N88" s="17"/>
      <c r="O88" s="17"/>
      <c r="P88" s="19"/>
      <c r="Q88" s="16"/>
      <c r="R88" s="16"/>
      <c r="S88" s="16"/>
      <c r="T88" s="18"/>
      <c r="U88" s="16"/>
      <c r="V88" s="16"/>
      <c r="W88" s="17"/>
      <c r="X88" s="17"/>
      <c r="Y88" s="16"/>
      <c r="Z88" s="18"/>
      <c r="AA88" s="19"/>
      <c r="AB88" s="19"/>
      <c r="AC88" s="17"/>
      <c r="AD88" s="18"/>
      <c r="AE88" s="22"/>
      <c r="AF88" s="23"/>
      <c r="AG88" s="23"/>
      <c r="AH88" s="24" t="s">
        <v>42</v>
      </c>
      <c r="AI88" s="24" t="s">
        <v>42</v>
      </c>
      <c r="AJ88" s="28" t="s">
        <v>42</v>
      </c>
      <c r="AK88" s="24" t="s">
        <v>42</v>
      </c>
    </row>
    <row r="89" ht="22.5" customHeight="1">
      <c r="A89" s="15"/>
      <c r="B89" s="16"/>
      <c r="C89" s="17"/>
      <c r="D89" s="17"/>
      <c r="E89" s="18"/>
      <c r="F89" s="17"/>
      <c r="G89" s="17"/>
      <c r="H89" s="16"/>
      <c r="I89" s="17"/>
      <c r="J89" s="16"/>
      <c r="K89" s="17"/>
      <c r="L89" s="17"/>
      <c r="M89" s="17"/>
      <c r="N89" s="17"/>
      <c r="O89" s="17"/>
      <c r="P89" s="19"/>
      <c r="Q89" s="16"/>
      <c r="R89" s="16"/>
      <c r="S89" s="16"/>
      <c r="T89" s="18"/>
      <c r="U89" s="16"/>
      <c r="V89" s="16"/>
      <c r="W89" s="17"/>
      <c r="X89" s="17"/>
      <c r="Y89" s="16"/>
      <c r="Z89" s="18"/>
      <c r="AA89" s="18"/>
      <c r="AB89" s="18"/>
      <c r="AC89" s="17"/>
      <c r="AD89" s="18"/>
      <c r="AE89" s="22"/>
      <c r="AF89" s="23"/>
      <c r="AG89" s="23"/>
      <c r="AH89" s="24" t="s">
        <v>42</v>
      </c>
      <c r="AI89" s="24" t="s">
        <v>42</v>
      </c>
      <c r="AJ89" s="28" t="s">
        <v>42</v>
      </c>
      <c r="AK89" s="24" t="s">
        <v>42</v>
      </c>
    </row>
    <row r="90" ht="22.5" customHeight="1">
      <c r="A90" s="15"/>
      <c r="B90" s="16"/>
      <c r="C90" s="17"/>
      <c r="D90" s="17"/>
      <c r="E90" s="18"/>
      <c r="F90" s="17"/>
      <c r="G90" s="17"/>
      <c r="H90" s="16"/>
      <c r="I90" s="17"/>
      <c r="J90" s="16"/>
      <c r="K90" s="17"/>
      <c r="L90" s="17"/>
      <c r="M90" s="17"/>
      <c r="N90" s="17"/>
      <c r="O90" s="17"/>
      <c r="P90" s="19"/>
      <c r="Q90" s="16"/>
      <c r="R90" s="16"/>
      <c r="S90" s="16"/>
      <c r="T90" s="18"/>
      <c r="U90" s="16"/>
      <c r="V90" s="16"/>
      <c r="W90" s="17"/>
      <c r="X90" s="17"/>
      <c r="Y90" s="16"/>
      <c r="Z90" s="18"/>
      <c r="AA90" s="19"/>
      <c r="AB90" s="19"/>
      <c r="AC90" s="17"/>
      <c r="AD90" s="27"/>
      <c r="AE90" s="22"/>
      <c r="AF90" s="23"/>
      <c r="AG90" s="23"/>
      <c r="AH90" s="24" t="s">
        <v>42</v>
      </c>
      <c r="AI90" s="24" t="s">
        <v>42</v>
      </c>
      <c r="AJ90" s="28" t="s">
        <v>42</v>
      </c>
      <c r="AK90" s="24" t="s">
        <v>42</v>
      </c>
    </row>
    <row r="91" ht="22.5" customHeight="1">
      <c r="A91" s="15"/>
      <c r="B91" s="16"/>
      <c r="C91" s="17"/>
      <c r="D91" s="17"/>
      <c r="E91" s="18"/>
      <c r="F91" s="17"/>
      <c r="G91" s="17"/>
      <c r="H91" s="16"/>
      <c r="I91" s="17"/>
      <c r="J91" s="16"/>
      <c r="K91" s="17"/>
      <c r="L91" s="17"/>
      <c r="M91" s="17"/>
      <c r="N91" s="17"/>
      <c r="O91" s="17"/>
      <c r="P91" s="19"/>
      <c r="Q91" s="16"/>
      <c r="R91" s="16"/>
      <c r="S91" s="16"/>
      <c r="T91" s="18"/>
      <c r="U91" s="16"/>
      <c r="V91" s="16"/>
      <c r="W91" s="17"/>
      <c r="X91" s="17"/>
      <c r="Y91" s="16"/>
      <c r="Z91" s="18"/>
      <c r="AA91" s="19"/>
      <c r="AB91" s="19"/>
      <c r="AC91" s="17"/>
      <c r="AD91" s="18"/>
      <c r="AE91" s="22"/>
      <c r="AF91" s="23"/>
      <c r="AG91" s="23"/>
      <c r="AH91" s="24" t="s">
        <v>42</v>
      </c>
      <c r="AI91" s="24" t="s">
        <v>42</v>
      </c>
      <c r="AJ91" s="28" t="s">
        <v>42</v>
      </c>
      <c r="AK91" s="24" t="s">
        <v>42</v>
      </c>
    </row>
    <row r="92" ht="22.5" customHeight="1">
      <c r="A92" s="15"/>
      <c r="B92" s="16"/>
      <c r="C92" s="17"/>
      <c r="D92" s="17"/>
      <c r="E92" s="18"/>
      <c r="F92" s="17"/>
      <c r="G92" s="17"/>
      <c r="H92" s="16"/>
      <c r="I92" s="17"/>
      <c r="J92" s="16"/>
      <c r="K92" s="17"/>
      <c r="L92" s="17"/>
      <c r="M92" s="17"/>
      <c r="N92" s="17"/>
      <c r="O92" s="17"/>
      <c r="P92" s="19"/>
      <c r="Q92" s="16"/>
      <c r="R92" s="16"/>
      <c r="S92" s="16"/>
      <c r="T92" s="18"/>
      <c r="U92" s="16"/>
      <c r="V92" s="16"/>
      <c r="W92" s="17"/>
      <c r="X92" s="17"/>
      <c r="Y92" s="16"/>
      <c r="Z92" s="18"/>
      <c r="AA92" s="19"/>
      <c r="AB92" s="19"/>
      <c r="AC92" s="17"/>
      <c r="AD92" s="18"/>
      <c r="AE92" s="22"/>
      <c r="AF92" s="23"/>
      <c r="AG92" s="23"/>
      <c r="AH92" s="24" t="s">
        <v>42</v>
      </c>
      <c r="AI92" s="24" t="s">
        <v>42</v>
      </c>
      <c r="AJ92" s="28" t="s">
        <v>42</v>
      </c>
      <c r="AK92" s="24" t="s">
        <v>42</v>
      </c>
    </row>
    <row r="93" ht="22.5" customHeight="1">
      <c r="A93" s="15"/>
      <c r="B93" s="16"/>
      <c r="C93" s="17"/>
      <c r="D93" s="17"/>
      <c r="E93" s="18"/>
      <c r="F93" s="17"/>
      <c r="G93" s="17"/>
      <c r="H93" s="16"/>
      <c r="I93" s="17"/>
      <c r="J93" s="16"/>
      <c r="K93" s="17"/>
      <c r="L93" s="17"/>
      <c r="M93" s="17"/>
      <c r="N93" s="17"/>
      <c r="O93" s="17"/>
      <c r="P93" s="19"/>
      <c r="Q93" s="16"/>
      <c r="R93" s="16"/>
      <c r="S93" s="16"/>
      <c r="T93" s="18"/>
      <c r="U93" s="16"/>
      <c r="V93" s="16"/>
      <c r="W93" s="17"/>
      <c r="X93" s="17"/>
      <c r="Y93" s="16"/>
      <c r="Z93" s="18"/>
      <c r="AA93" s="19"/>
      <c r="AB93" s="19"/>
      <c r="AC93" s="17"/>
      <c r="AD93" s="27"/>
      <c r="AE93" s="22"/>
      <c r="AF93" s="23"/>
      <c r="AG93" s="23"/>
      <c r="AH93" s="24" t="s">
        <v>42</v>
      </c>
      <c r="AI93" s="24" t="s">
        <v>42</v>
      </c>
      <c r="AJ93" s="28" t="s">
        <v>42</v>
      </c>
      <c r="AK93" s="24" t="s">
        <v>42</v>
      </c>
    </row>
    <row r="94" ht="22.5" customHeight="1">
      <c r="A94" s="15"/>
      <c r="B94" s="16"/>
      <c r="C94" s="17"/>
      <c r="D94" s="17"/>
      <c r="E94" s="18"/>
      <c r="F94" s="17"/>
      <c r="G94" s="17"/>
      <c r="H94" s="16"/>
      <c r="I94" s="17"/>
      <c r="J94" s="16"/>
      <c r="K94" s="17"/>
      <c r="L94" s="17"/>
      <c r="M94" s="17"/>
      <c r="N94" s="17"/>
      <c r="O94" s="17"/>
      <c r="P94" s="19"/>
      <c r="Q94" s="16"/>
      <c r="R94" s="16"/>
      <c r="S94" s="16"/>
      <c r="T94" s="18"/>
      <c r="U94" s="16"/>
      <c r="V94" s="16"/>
      <c r="W94" s="17"/>
      <c r="X94" s="17"/>
      <c r="Y94" s="16"/>
      <c r="Z94" s="18"/>
      <c r="AA94" s="19"/>
      <c r="AB94" s="19"/>
      <c r="AC94" s="17"/>
      <c r="AD94" s="18"/>
      <c r="AE94" s="22"/>
      <c r="AF94" s="23"/>
      <c r="AG94" s="23"/>
      <c r="AH94" s="24" t="s">
        <v>42</v>
      </c>
      <c r="AI94" s="24" t="s">
        <v>42</v>
      </c>
      <c r="AJ94" s="28" t="s">
        <v>42</v>
      </c>
      <c r="AK94" s="24" t="s">
        <v>42</v>
      </c>
    </row>
    <row r="95" ht="22.5" customHeight="1">
      <c r="A95" s="15"/>
      <c r="B95" s="16"/>
      <c r="C95" s="17"/>
      <c r="D95" s="17"/>
      <c r="E95" s="18"/>
      <c r="F95" s="17"/>
      <c r="G95" s="17"/>
      <c r="H95" s="16"/>
      <c r="I95" s="17"/>
      <c r="J95" s="16"/>
      <c r="K95" s="17"/>
      <c r="L95" s="17"/>
      <c r="M95" s="17"/>
      <c r="N95" s="17"/>
      <c r="O95" s="17"/>
      <c r="P95" s="19"/>
      <c r="Q95" s="16"/>
      <c r="R95" s="16"/>
      <c r="S95" s="16"/>
      <c r="T95" s="18"/>
      <c r="U95" s="16"/>
      <c r="V95" s="16"/>
      <c r="W95" s="17"/>
      <c r="X95" s="17"/>
      <c r="Y95" s="16"/>
      <c r="Z95" s="18"/>
      <c r="AA95" s="18"/>
      <c r="AB95" s="18"/>
      <c r="AC95" s="17"/>
      <c r="AD95" s="18"/>
      <c r="AE95" s="22"/>
      <c r="AF95" s="23"/>
      <c r="AG95" s="23"/>
      <c r="AH95" s="24" t="s">
        <v>42</v>
      </c>
      <c r="AI95" s="24" t="s">
        <v>42</v>
      </c>
      <c r="AJ95" s="28" t="s">
        <v>42</v>
      </c>
      <c r="AK95" s="24" t="s">
        <v>42</v>
      </c>
    </row>
    <row r="96" ht="22.5" customHeight="1">
      <c r="A96" s="15"/>
      <c r="B96" s="16"/>
      <c r="C96" s="17"/>
      <c r="D96" s="17"/>
      <c r="E96" s="18"/>
      <c r="F96" s="17"/>
      <c r="G96" s="17"/>
      <c r="H96" s="16"/>
      <c r="I96" s="17"/>
      <c r="J96" s="16"/>
      <c r="K96" s="17"/>
      <c r="L96" s="17"/>
      <c r="M96" s="17"/>
      <c r="N96" s="17"/>
      <c r="O96" s="17"/>
      <c r="P96" s="19"/>
      <c r="Q96" s="16"/>
      <c r="R96" s="16"/>
      <c r="S96" s="16"/>
      <c r="T96" s="18"/>
      <c r="U96" s="16"/>
      <c r="V96" s="16"/>
      <c r="W96" s="17"/>
      <c r="X96" s="17"/>
      <c r="Y96" s="16"/>
      <c r="Z96" s="18"/>
      <c r="AA96" s="17"/>
      <c r="AB96" s="17"/>
      <c r="AC96" s="17"/>
      <c r="AD96" s="18"/>
      <c r="AE96" s="22"/>
      <c r="AF96" s="23"/>
      <c r="AG96" s="23"/>
      <c r="AH96" s="24" t="s">
        <v>42</v>
      </c>
      <c r="AI96" s="24" t="s">
        <v>42</v>
      </c>
      <c r="AJ96" s="28" t="s">
        <v>42</v>
      </c>
      <c r="AK96" s="24" t="s">
        <v>42</v>
      </c>
    </row>
    <row r="97" ht="22.5" customHeight="1">
      <c r="A97" s="15"/>
      <c r="B97" s="16"/>
      <c r="C97" s="17"/>
      <c r="D97" s="17"/>
      <c r="E97" s="18"/>
      <c r="F97" s="17"/>
      <c r="G97" s="17"/>
      <c r="H97" s="16"/>
      <c r="I97" s="17"/>
      <c r="J97" s="16"/>
      <c r="K97" s="17"/>
      <c r="L97" s="17"/>
      <c r="M97" s="17"/>
      <c r="N97" s="17"/>
      <c r="O97" s="17"/>
      <c r="P97" s="19"/>
      <c r="Q97" s="16"/>
      <c r="R97" s="16"/>
      <c r="S97" s="16"/>
      <c r="T97" s="18"/>
      <c r="U97" s="16"/>
      <c r="V97" s="16"/>
      <c r="W97" s="17"/>
      <c r="X97" s="17"/>
      <c r="Y97" s="16"/>
      <c r="Z97" s="18"/>
      <c r="AA97" s="19"/>
      <c r="AB97" s="19"/>
      <c r="AC97" s="17"/>
      <c r="AD97" s="27"/>
      <c r="AE97" s="22"/>
      <c r="AF97" s="23"/>
      <c r="AG97" s="23"/>
      <c r="AH97" s="24" t="s">
        <v>42</v>
      </c>
      <c r="AI97" s="24" t="s">
        <v>42</v>
      </c>
      <c r="AJ97" s="28" t="s">
        <v>42</v>
      </c>
      <c r="AK97" s="24" t="s">
        <v>42</v>
      </c>
    </row>
    <row r="98" ht="22.5" customHeight="1">
      <c r="A98" s="15"/>
      <c r="B98" s="16"/>
      <c r="C98" s="17"/>
      <c r="D98" s="17"/>
      <c r="E98" s="18"/>
      <c r="F98" s="17"/>
      <c r="G98" s="17"/>
      <c r="H98" s="16"/>
      <c r="I98" s="17"/>
      <c r="J98" s="16"/>
      <c r="K98" s="17"/>
      <c r="L98" s="17"/>
      <c r="M98" s="17"/>
      <c r="N98" s="17"/>
      <c r="O98" s="17"/>
      <c r="P98" s="19"/>
      <c r="Q98" s="16"/>
      <c r="R98" s="16"/>
      <c r="S98" s="16"/>
      <c r="T98" s="18"/>
      <c r="U98" s="16"/>
      <c r="V98" s="16"/>
      <c r="W98" s="17"/>
      <c r="X98" s="17"/>
      <c r="Y98" s="16"/>
      <c r="Z98" s="18"/>
      <c r="AA98" s="18"/>
      <c r="AB98" s="18"/>
      <c r="AC98" s="17"/>
      <c r="AD98" s="18"/>
      <c r="AE98" s="22"/>
      <c r="AF98" s="23"/>
      <c r="AG98" s="23"/>
      <c r="AH98" s="24" t="s">
        <v>42</v>
      </c>
      <c r="AI98" s="24" t="s">
        <v>42</v>
      </c>
      <c r="AJ98" s="28" t="s">
        <v>42</v>
      </c>
      <c r="AK98" s="24" t="s">
        <v>42</v>
      </c>
    </row>
    <row r="99" ht="22.5" customHeight="1">
      <c r="A99" s="31"/>
      <c r="B99" s="32"/>
      <c r="C99" s="33"/>
      <c r="D99" s="33"/>
      <c r="E99" s="34"/>
      <c r="F99" s="33"/>
      <c r="G99" s="33"/>
      <c r="H99" s="32"/>
      <c r="I99" s="33"/>
      <c r="J99" s="32"/>
      <c r="K99" s="33"/>
      <c r="L99" s="33"/>
      <c r="M99" s="33"/>
      <c r="N99" s="33"/>
      <c r="O99" s="33"/>
      <c r="P99" s="35"/>
      <c r="Q99" s="32"/>
      <c r="R99" s="32"/>
      <c r="S99" s="32"/>
      <c r="T99" s="34"/>
      <c r="U99" s="32"/>
      <c r="V99" s="32"/>
      <c r="W99" s="33"/>
      <c r="X99" s="35"/>
      <c r="Y99" s="32"/>
      <c r="Z99" s="34"/>
      <c r="AA99" s="33"/>
      <c r="AB99" s="33"/>
      <c r="AC99" s="17"/>
      <c r="AD99" s="36"/>
      <c r="AE99" s="37"/>
      <c r="AF99" s="38"/>
      <c r="AG99" s="38"/>
      <c r="AH99" s="39" t="s">
        <v>42</v>
      </c>
      <c r="AI99" s="39" t="s">
        <v>42</v>
      </c>
      <c r="AJ99" s="40" t="s">
        <v>42</v>
      </c>
      <c r="AK99" s="39" t="s">
        <v>42</v>
      </c>
    </row>
    <row r="100" ht="22.5" customHeight="1">
      <c r="A100" s="15"/>
      <c r="B100" s="16"/>
      <c r="C100" s="17"/>
      <c r="D100" s="17"/>
      <c r="E100" s="18"/>
      <c r="F100" s="17"/>
      <c r="G100" s="17"/>
      <c r="H100" s="16"/>
      <c r="I100" s="17"/>
      <c r="J100" s="16"/>
      <c r="K100" s="17"/>
      <c r="L100" s="17"/>
      <c r="M100" s="17"/>
      <c r="N100" s="17"/>
      <c r="O100" s="17"/>
      <c r="P100" s="19"/>
      <c r="Q100" s="16"/>
      <c r="R100" s="16"/>
      <c r="S100" s="16"/>
      <c r="T100" s="18"/>
      <c r="U100" s="16"/>
      <c r="V100" s="16"/>
      <c r="W100" s="17"/>
      <c r="X100" s="17"/>
      <c r="Y100" s="16"/>
      <c r="Z100" s="18"/>
      <c r="AA100" s="17"/>
      <c r="AB100" s="17"/>
      <c r="AC100" s="17"/>
      <c r="AD100" s="27"/>
      <c r="AE100" s="22"/>
      <c r="AF100" s="23"/>
      <c r="AG100" s="23"/>
      <c r="AH100" s="24" t="s">
        <v>42</v>
      </c>
      <c r="AI100" s="24" t="s">
        <v>42</v>
      </c>
      <c r="AJ100" s="28" t="s">
        <v>42</v>
      </c>
      <c r="AK100" s="24" t="s">
        <v>42</v>
      </c>
    </row>
    <row r="101" ht="22.5" customHeight="1">
      <c r="A101" s="15"/>
      <c r="B101" s="16"/>
      <c r="C101" s="17"/>
      <c r="D101" s="17"/>
      <c r="E101" s="18"/>
      <c r="F101" s="17"/>
      <c r="G101" s="17"/>
      <c r="H101" s="16"/>
      <c r="I101" s="17"/>
      <c r="J101" s="16"/>
      <c r="K101" s="17"/>
      <c r="L101" s="17"/>
      <c r="M101" s="17"/>
      <c r="N101" s="17"/>
      <c r="O101" s="17"/>
      <c r="P101" s="17"/>
      <c r="Q101" s="16"/>
      <c r="R101" s="16"/>
      <c r="S101" s="16"/>
      <c r="T101" s="18"/>
      <c r="U101" s="16"/>
      <c r="V101" s="16"/>
      <c r="W101" s="17"/>
      <c r="X101" s="17"/>
      <c r="Y101" s="16"/>
      <c r="Z101" s="18"/>
      <c r="AA101" s="18"/>
      <c r="AB101" s="18"/>
      <c r="AC101" s="17"/>
      <c r="AD101" s="18"/>
      <c r="AE101" s="22"/>
      <c r="AF101" s="23"/>
      <c r="AG101" s="23"/>
      <c r="AH101" s="24" t="s">
        <v>42</v>
      </c>
      <c r="AI101" s="24" t="s">
        <v>42</v>
      </c>
      <c r="AJ101" s="28" t="s">
        <v>42</v>
      </c>
      <c r="AK101" s="24" t="s">
        <v>42</v>
      </c>
    </row>
    <row r="102" ht="22.5" customHeight="1">
      <c r="A102" s="15"/>
      <c r="B102" s="16"/>
      <c r="C102" s="17"/>
      <c r="D102" s="17"/>
      <c r="E102" s="18"/>
      <c r="F102" s="17"/>
      <c r="G102" s="17"/>
      <c r="H102" s="16"/>
      <c r="I102" s="17"/>
      <c r="J102" s="16"/>
      <c r="K102" s="17"/>
      <c r="L102" s="17"/>
      <c r="M102" s="17"/>
      <c r="N102" s="17"/>
      <c r="O102" s="17"/>
      <c r="P102" s="17"/>
      <c r="Q102" s="16"/>
      <c r="R102" s="16"/>
      <c r="S102" s="16"/>
      <c r="T102" s="18"/>
      <c r="U102" s="16"/>
      <c r="V102" s="16"/>
      <c r="W102" s="17"/>
      <c r="X102" s="17"/>
      <c r="Y102" s="16"/>
      <c r="Z102" s="18"/>
      <c r="AA102" s="19"/>
      <c r="AB102" s="19"/>
      <c r="AC102" s="17"/>
      <c r="AD102" s="18"/>
      <c r="AE102" s="22"/>
      <c r="AF102" s="23"/>
      <c r="AG102" s="23"/>
      <c r="AH102" s="24" t="s">
        <v>42</v>
      </c>
      <c r="AI102" s="24" t="s">
        <v>42</v>
      </c>
      <c r="AJ102" s="28" t="s">
        <v>42</v>
      </c>
      <c r="AK102" s="24" t="s">
        <v>42</v>
      </c>
    </row>
    <row r="103" ht="22.5" customHeight="1">
      <c r="A103" s="15"/>
      <c r="B103" s="16"/>
      <c r="C103" s="17"/>
      <c r="D103" s="17"/>
      <c r="E103" s="18"/>
      <c r="F103" s="17"/>
      <c r="G103" s="17"/>
      <c r="H103" s="16"/>
      <c r="I103" s="17"/>
      <c r="J103" s="16"/>
      <c r="K103" s="17"/>
      <c r="L103" s="17"/>
      <c r="M103" s="17"/>
      <c r="N103" s="17"/>
      <c r="O103" s="17"/>
      <c r="P103" s="17"/>
      <c r="Q103" s="16"/>
      <c r="R103" s="16"/>
      <c r="S103" s="16"/>
      <c r="T103" s="18"/>
      <c r="U103" s="16"/>
      <c r="V103" s="16"/>
      <c r="W103" s="17"/>
      <c r="X103" s="17"/>
      <c r="Y103" s="16"/>
      <c r="Z103" s="18"/>
      <c r="AA103" s="17"/>
      <c r="AB103" s="17"/>
      <c r="AC103" s="17"/>
      <c r="AD103" s="27"/>
      <c r="AE103" s="22"/>
      <c r="AF103" s="23"/>
      <c r="AG103" s="23"/>
      <c r="AH103" s="24" t="s">
        <v>42</v>
      </c>
      <c r="AI103" s="24" t="s">
        <v>42</v>
      </c>
      <c r="AJ103" s="28" t="s">
        <v>42</v>
      </c>
      <c r="AK103" s="24" t="s">
        <v>42</v>
      </c>
    </row>
    <row r="104" ht="22.5" customHeight="1">
      <c r="A104" s="15"/>
      <c r="B104" s="16"/>
      <c r="C104" s="17"/>
      <c r="D104" s="17"/>
      <c r="E104" s="18"/>
      <c r="F104" s="17"/>
      <c r="G104" s="17"/>
      <c r="H104" s="16"/>
      <c r="I104" s="17"/>
      <c r="J104" s="16"/>
      <c r="K104" s="17"/>
      <c r="L104" s="17"/>
      <c r="M104" s="17"/>
      <c r="N104" s="17"/>
      <c r="O104" s="17"/>
      <c r="P104" s="17"/>
      <c r="Q104" s="16"/>
      <c r="R104" s="16"/>
      <c r="S104" s="16"/>
      <c r="T104" s="18"/>
      <c r="U104" s="16"/>
      <c r="V104" s="16"/>
      <c r="W104" s="17"/>
      <c r="X104" s="17"/>
      <c r="Y104" s="16"/>
      <c r="Z104" s="18"/>
      <c r="AA104" s="17"/>
      <c r="AB104" s="17"/>
      <c r="AC104" s="17"/>
      <c r="AD104" s="18"/>
      <c r="AE104" s="22"/>
      <c r="AF104" s="23"/>
      <c r="AG104" s="23"/>
      <c r="AH104" s="24" t="s">
        <v>42</v>
      </c>
      <c r="AI104" s="24" t="s">
        <v>42</v>
      </c>
      <c r="AJ104" s="28" t="s">
        <v>42</v>
      </c>
      <c r="AK104" s="24" t="s">
        <v>42</v>
      </c>
    </row>
    <row r="105" ht="22.5" customHeight="1">
      <c r="A105" s="15"/>
      <c r="B105" s="16"/>
      <c r="C105" s="17"/>
      <c r="D105" s="17"/>
      <c r="E105" s="18"/>
      <c r="F105" s="17"/>
      <c r="G105" s="17"/>
      <c r="H105" s="16"/>
      <c r="I105" s="17"/>
      <c r="J105" s="16"/>
      <c r="K105" s="17"/>
      <c r="L105" s="17"/>
      <c r="M105" s="17"/>
      <c r="N105" s="17"/>
      <c r="O105" s="17"/>
      <c r="P105" s="17"/>
      <c r="Q105" s="16"/>
      <c r="R105" s="16"/>
      <c r="S105" s="16"/>
      <c r="T105" s="18"/>
      <c r="U105" s="16"/>
      <c r="V105" s="16"/>
      <c r="W105" s="17"/>
      <c r="X105" s="17"/>
      <c r="Y105" s="16"/>
      <c r="Z105" s="18"/>
      <c r="AA105" s="17"/>
      <c r="AB105" s="18"/>
      <c r="AC105" s="17"/>
      <c r="AD105" s="18"/>
      <c r="AE105" s="22"/>
      <c r="AF105" s="23"/>
      <c r="AG105" s="23"/>
      <c r="AH105" s="24" t="s">
        <v>42</v>
      </c>
      <c r="AI105" s="24" t="s">
        <v>42</v>
      </c>
      <c r="AJ105" s="28" t="s">
        <v>42</v>
      </c>
      <c r="AK105" s="24" t="s">
        <v>42</v>
      </c>
    </row>
    <row r="106" ht="22.5" customHeight="1">
      <c r="A106" s="15"/>
      <c r="B106" s="16"/>
      <c r="C106" s="17"/>
      <c r="D106" s="17"/>
      <c r="E106" s="18"/>
      <c r="F106" s="17"/>
      <c r="G106" s="17"/>
      <c r="H106" s="16"/>
      <c r="I106" s="17"/>
      <c r="J106" s="16"/>
      <c r="K106" s="17"/>
      <c r="L106" s="17"/>
      <c r="M106" s="17"/>
      <c r="N106" s="17"/>
      <c r="O106" s="17"/>
      <c r="P106" s="17"/>
      <c r="Q106" s="16"/>
      <c r="R106" s="16"/>
      <c r="S106" s="16"/>
      <c r="T106" s="18"/>
      <c r="U106" s="16"/>
      <c r="V106" s="16"/>
      <c r="W106" s="17"/>
      <c r="X106" s="17"/>
      <c r="Y106" s="16"/>
      <c r="Z106" s="27"/>
      <c r="AA106" s="17"/>
      <c r="AB106" s="19"/>
      <c r="AC106" s="17"/>
      <c r="AD106" s="27"/>
      <c r="AE106" s="22"/>
      <c r="AF106" s="23"/>
      <c r="AG106" s="23"/>
      <c r="AH106" s="24" t="s">
        <v>42</v>
      </c>
      <c r="AI106" s="24" t="s">
        <v>42</v>
      </c>
      <c r="AJ106" s="28" t="s">
        <v>42</v>
      </c>
      <c r="AK106" s="24" t="s">
        <v>42</v>
      </c>
    </row>
    <row r="107" ht="22.5" customHeight="1">
      <c r="A107" s="15"/>
      <c r="B107" s="16"/>
      <c r="C107" s="17"/>
      <c r="D107" s="17"/>
      <c r="E107" s="41"/>
      <c r="F107" s="17"/>
      <c r="G107" s="17"/>
      <c r="H107" s="16"/>
      <c r="I107" s="17"/>
      <c r="J107" s="16"/>
      <c r="K107" s="17"/>
      <c r="L107" s="17"/>
      <c r="M107" s="17"/>
      <c r="N107" s="17"/>
      <c r="O107" s="17"/>
      <c r="P107" s="17"/>
      <c r="Q107" s="16"/>
      <c r="R107" s="16"/>
      <c r="S107" s="16"/>
      <c r="T107" s="18"/>
      <c r="U107" s="16"/>
      <c r="V107" s="16"/>
      <c r="W107" s="17"/>
      <c r="X107" s="17"/>
      <c r="Y107" s="16"/>
      <c r="Z107" s="18"/>
      <c r="AA107" s="17"/>
      <c r="AB107" s="17"/>
      <c r="AC107" s="17"/>
      <c r="AD107" s="27"/>
      <c r="AE107" s="22"/>
      <c r="AF107" s="23"/>
      <c r="AG107" s="23"/>
      <c r="AH107" s="24" t="s">
        <v>42</v>
      </c>
      <c r="AI107" s="24" t="s">
        <v>42</v>
      </c>
      <c r="AJ107" s="28" t="s">
        <v>42</v>
      </c>
      <c r="AK107" s="24" t="s">
        <v>42</v>
      </c>
    </row>
    <row r="108" ht="22.5" customHeight="1">
      <c r="A108" s="15"/>
      <c r="B108" s="16"/>
      <c r="C108" s="17"/>
      <c r="D108" s="17"/>
      <c r="E108" s="41"/>
      <c r="F108" s="17"/>
      <c r="G108" s="17"/>
      <c r="H108" s="16"/>
      <c r="I108" s="17"/>
      <c r="J108" s="16"/>
      <c r="K108" s="17"/>
      <c r="L108" s="17"/>
      <c r="M108" s="17"/>
      <c r="N108" s="17"/>
      <c r="O108" s="17"/>
      <c r="P108" s="17"/>
      <c r="Q108" s="16"/>
      <c r="R108" s="16"/>
      <c r="S108" s="16"/>
      <c r="T108" s="18"/>
      <c r="U108" s="16"/>
      <c r="V108" s="16"/>
      <c r="W108" s="17"/>
      <c r="X108" s="17"/>
      <c r="Y108" s="16"/>
      <c r="Z108" s="18"/>
      <c r="AA108" s="17"/>
      <c r="AB108" s="19"/>
      <c r="AC108" s="17"/>
      <c r="AD108" s="27"/>
      <c r="AE108" s="22"/>
      <c r="AF108" s="23"/>
      <c r="AG108" s="23"/>
      <c r="AH108" s="24" t="s">
        <v>42</v>
      </c>
      <c r="AI108" s="24" t="s">
        <v>42</v>
      </c>
      <c r="AJ108" s="28" t="s">
        <v>42</v>
      </c>
      <c r="AK108" s="24" t="s">
        <v>42</v>
      </c>
    </row>
    <row r="109" ht="22.5" customHeight="1">
      <c r="A109" s="15"/>
      <c r="B109" s="16"/>
      <c r="C109" s="17"/>
      <c r="D109" s="17"/>
      <c r="E109" s="41"/>
      <c r="F109" s="17"/>
      <c r="G109" s="17"/>
      <c r="H109" s="16"/>
      <c r="I109" s="17"/>
      <c r="J109" s="16"/>
      <c r="K109" s="17"/>
      <c r="L109" s="17"/>
      <c r="M109" s="17"/>
      <c r="N109" s="17"/>
      <c r="O109" s="17"/>
      <c r="P109" s="17"/>
      <c r="Q109" s="16"/>
      <c r="R109" s="16"/>
      <c r="S109" s="16"/>
      <c r="T109" s="18"/>
      <c r="U109" s="16"/>
      <c r="V109" s="16"/>
      <c r="W109" s="17"/>
      <c r="X109" s="17"/>
      <c r="Y109" s="16"/>
      <c r="Z109" s="18"/>
      <c r="AA109" s="17"/>
      <c r="AB109" s="19"/>
      <c r="AC109" s="17"/>
      <c r="AD109" s="27"/>
      <c r="AE109" s="22"/>
      <c r="AF109" s="23"/>
      <c r="AG109" s="23"/>
      <c r="AH109" s="24" t="s">
        <v>42</v>
      </c>
      <c r="AI109" s="24" t="s">
        <v>42</v>
      </c>
      <c r="AJ109" s="28" t="s">
        <v>42</v>
      </c>
      <c r="AK109" s="24" t="s">
        <v>42</v>
      </c>
    </row>
    <row r="110" ht="22.5" customHeight="1">
      <c r="A110" s="15"/>
      <c r="B110" s="16"/>
      <c r="C110" s="17"/>
      <c r="D110" s="17"/>
      <c r="E110" s="41"/>
      <c r="F110" s="17"/>
      <c r="G110" s="17"/>
      <c r="H110" s="16"/>
      <c r="I110" s="17"/>
      <c r="J110" s="16"/>
      <c r="K110" s="17"/>
      <c r="L110" s="17"/>
      <c r="M110" s="17"/>
      <c r="N110" s="17"/>
      <c r="O110" s="17"/>
      <c r="P110" s="17"/>
      <c r="Q110" s="16"/>
      <c r="R110" s="16"/>
      <c r="S110" s="16"/>
      <c r="T110" s="18"/>
      <c r="U110" s="16"/>
      <c r="V110" s="16"/>
      <c r="W110" s="17"/>
      <c r="X110" s="17"/>
      <c r="Y110" s="16"/>
      <c r="Z110" s="18"/>
      <c r="AA110" s="17"/>
      <c r="AB110" s="19"/>
      <c r="AC110" s="17"/>
      <c r="AD110" s="27"/>
      <c r="AE110" s="22"/>
      <c r="AF110" s="23"/>
      <c r="AG110" s="23"/>
      <c r="AH110" s="24" t="s">
        <v>42</v>
      </c>
      <c r="AI110" s="24" t="s">
        <v>42</v>
      </c>
      <c r="AJ110" s="28" t="s">
        <v>42</v>
      </c>
      <c r="AK110" s="24" t="s">
        <v>42</v>
      </c>
    </row>
    <row r="111" ht="22.5" customHeight="1">
      <c r="A111" s="15"/>
      <c r="B111" s="16"/>
      <c r="C111" s="17"/>
      <c r="D111" s="17"/>
      <c r="E111" s="41"/>
      <c r="F111" s="17"/>
      <c r="G111" s="17"/>
      <c r="H111" s="16"/>
      <c r="I111" s="17"/>
      <c r="J111" s="16"/>
      <c r="K111" s="17"/>
      <c r="L111" s="17"/>
      <c r="M111" s="17"/>
      <c r="N111" s="17"/>
      <c r="O111" s="17"/>
      <c r="P111" s="17"/>
      <c r="Q111" s="16"/>
      <c r="R111" s="16"/>
      <c r="S111" s="16"/>
      <c r="T111" s="18"/>
      <c r="U111" s="16"/>
      <c r="V111" s="16"/>
      <c r="W111" s="17"/>
      <c r="X111" s="17"/>
      <c r="Y111" s="16"/>
      <c r="Z111" s="18"/>
      <c r="AA111" s="17"/>
      <c r="AB111" s="19"/>
      <c r="AC111" s="17"/>
      <c r="AD111" s="27"/>
      <c r="AE111" s="22"/>
      <c r="AF111" s="23"/>
      <c r="AG111" s="23"/>
      <c r="AH111" s="24" t="s">
        <v>42</v>
      </c>
      <c r="AI111" s="24" t="s">
        <v>42</v>
      </c>
      <c r="AJ111" s="28" t="s">
        <v>42</v>
      </c>
      <c r="AK111" s="24" t="s">
        <v>42</v>
      </c>
    </row>
    <row r="112" ht="22.5" customHeight="1">
      <c r="A112" s="15"/>
      <c r="B112" s="16"/>
      <c r="C112" s="17"/>
      <c r="D112" s="17"/>
      <c r="E112" s="41"/>
      <c r="F112" s="17"/>
      <c r="G112" s="17"/>
      <c r="H112" s="16"/>
      <c r="I112" s="17"/>
      <c r="J112" s="16"/>
      <c r="K112" s="17"/>
      <c r="L112" s="17"/>
      <c r="M112" s="17"/>
      <c r="N112" s="17"/>
      <c r="O112" s="17"/>
      <c r="P112" s="17"/>
      <c r="Q112" s="16"/>
      <c r="R112" s="16"/>
      <c r="S112" s="16"/>
      <c r="T112" s="18"/>
      <c r="U112" s="16"/>
      <c r="V112" s="16"/>
      <c r="W112" s="17"/>
      <c r="X112" s="17"/>
      <c r="Y112" s="16"/>
      <c r="Z112" s="18"/>
      <c r="AA112" s="17"/>
      <c r="AB112" s="17"/>
      <c r="AC112" s="17"/>
      <c r="AD112" s="27"/>
      <c r="AE112" s="22"/>
      <c r="AF112" s="23"/>
      <c r="AG112" s="23"/>
      <c r="AH112" s="24" t="s">
        <v>42</v>
      </c>
      <c r="AI112" s="24" t="s">
        <v>42</v>
      </c>
      <c r="AJ112" s="28" t="s">
        <v>42</v>
      </c>
      <c r="AK112" s="24" t="s">
        <v>42</v>
      </c>
    </row>
    <row r="113" ht="22.5" customHeight="1">
      <c r="A113" s="15"/>
      <c r="B113" s="16"/>
      <c r="C113" s="17"/>
      <c r="D113" s="17"/>
      <c r="E113" s="41"/>
      <c r="F113" s="17"/>
      <c r="G113" s="17"/>
      <c r="H113" s="16"/>
      <c r="I113" s="17"/>
      <c r="J113" s="16"/>
      <c r="K113" s="17"/>
      <c r="L113" s="17"/>
      <c r="M113" s="17"/>
      <c r="N113" s="17"/>
      <c r="O113" s="17"/>
      <c r="P113" s="17"/>
      <c r="Q113" s="16"/>
      <c r="R113" s="16"/>
      <c r="S113" s="16"/>
      <c r="T113" s="18"/>
      <c r="U113" s="16"/>
      <c r="V113" s="16"/>
      <c r="W113" s="17"/>
      <c r="X113" s="17"/>
      <c r="Y113" s="16"/>
      <c r="Z113" s="18"/>
      <c r="AA113" s="17"/>
      <c r="AB113" s="19"/>
      <c r="AC113" s="17"/>
      <c r="AD113" s="27"/>
      <c r="AE113" s="22"/>
      <c r="AF113" s="23"/>
      <c r="AG113" s="23"/>
      <c r="AH113" s="24" t="s">
        <v>42</v>
      </c>
      <c r="AI113" s="24" t="s">
        <v>42</v>
      </c>
      <c r="AJ113" s="28" t="s">
        <v>42</v>
      </c>
      <c r="AK113" s="24" t="s">
        <v>42</v>
      </c>
    </row>
    <row r="114" ht="22.5" customHeight="1">
      <c r="A114" s="15"/>
      <c r="B114" s="16"/>
      <c r="C114" s="17"/>
      <c r="D114" s="17"/>
      <c r="E114" s="41"/>
      <c r="F114" s="17"/>
      <c r="G114" s="17"/>
      <c r="H114" s="16"/>
      <c r="I114" s="17"/>
      <c r="J114" s="16"/>
      <c r="K114" s="17"/>
      <c r="L114" s="17"/>
      <c r="M114" s="17"/>
      <c r="N114" s="17"/>
      <c r="O114" s="17"/>
      <c r="P114" s="17"/>
      <c r="Q114" s="16"/>
      <c r="R114" s="16"/>
      <c r="S114" s="16"/>
      <c r="T114" s="18"/>
      <c r="U114" s="16"/>
      <c r="V114" s="16"/>
      <c r="W114" s="17"/>
      <c r="X114" s="17"/>
      <c r="Y114" s="16"/>
      <c r="Z114" s="18"/>
      <c r="AA114" s="17"/>
      <c r="AB114" s="19"/>
      <c r="AC114" s="17"/>
      <c r="AD114" s="27"/>
      <c r="AE114" s="22"/>
      <c r="AF114" s="23"/>
      <c r="AG114" s="23"/>
      <c r="AH114" s="24" t="s">
        <v>42</v>
      </c>
      <c r="AI114" s="24" t="s">
        <v>42</v>
      </c>
      <c r="AJ114" s="28" t="s">
        <v>42</v>
      </c>
      <c r="AK114" s="24" t="s">
        <v>42</v>
      </c>
    </row>
    <row r="115" ht="22.5" customHeight="1">
      <c r="A115" s="15"/>
      <c r="B115" s="16"/>
      <c r="C115" s="17"/>
      <c r="D115" s="17"/>
      <c r="E115" s="41"/>
      <c r="F115" s="17"/>
      <c r="G115" s="17"/>
      <c r="H115" s="16"/>
      <c r="I115" s="17"/>
      <c r="J115" s="16"/>
      <c r="K115" s="17"/>
      <c r="L115" s="17"/>
      <c r="M115" s="17"/>
      <c r="N115" s="17"/>
      <c r="O115" s="17"/>
      <c r="P115" s="17"/>
      <c r="Q115" s="16"/>
      <c r="R115" s="16"/>
      <c r="S115" s="16"/>
      <c r="T115" s="18"/>
      <c r="U115" s="16"/>
      <c r="V115" s="16"/>
      <c r="W115" s="17"/>
      <c r="X115" s="17"/>
      <c r="Y115" s="16"/>
      <c r="Z115" s="20"/>
      <c r="AA115" s="17"/>
      <c r="AB115" s="17"/>
      <c r="AC115" s="17"/>
      <c r="AD115" s="18"/>
      <c r="AE115" s="22"/>
      <c r="AF115" s="23"/>
      <c r="AG115" s="23"/>
      <c r="AH115" s="24" t="s">
        <v>42</v>
      </c>
      <c r="AI115" s="24" t="s">
        <v>42</v>
      </c>
      <c r="AJ115" s="28" t="s">
        <v>42</v>
      </c>
      <c r="AK115" s="24" t="s">
        <v>42</v>
      </c>
    </row>
    <row r="116" ht="22.5" customHeight="1">
      <c r="A116" s="15"/>
      <c r="B116" s="16"/>
      <c r="C116" s="17"/>
      <c r="D116" s="17"/>
      <c r="E116" s="41"/>
      <c r="F116" s="17"/>
      <c r="G116" s="17"/>
      <c r="H116" s="16"/>
      <c r="I116" s="17"/>
      <c r="J116" s="16"/>
      <c r="K116" s="17"/>
      <c r="L116" s="17"/>
      <c r="M116" s="17"/>
      <c r="N116" s="17"/>
      <c r="O116" s="17"/>
      <c r="P116" s="17"/>
      <c r="Q116" s="16"/>
      <c r="R116" s="16"/>
      <c r="S116" s="16"/>
      <c r="T116" s="18"/>
      <c r="U116" s="16"/>
      <c r="V116" s="16"/>
      <c r="W116" s="17"/>
      <c r="X116" s="17"/>
      <c r="Y116" s="16"/>
      <c r="Z116" s="18"/>
      <c r="AA116" s="17"/>
      <c r="AB116" s="19"/>
      <c r="AC116" s="17"/>
      <c r="AD116" s="27"/>
      <c r="AE116" s="22"/>
      <c r="AF116" s="23"/>
      <c r="AG116" s="23"/>
      <c r="AH116" s="24" t="s">
        <v>42</v>
      </c>
      <c r="AI116" s="24" t="s">
        <v>42</v>
      </c>
      <c r="AJ116" s="28" t="s">
        <v>42</v>
      </c>
      <c r="AK116" s="24" t="s">
        <v>42</v>
      </c>
    </row>
    <row r="117" ht="22.5" customHeight="1">
      <c r="A117" s="15"/>
      <c r="B117" s="16"/>
      <c r="C117" s="17"/>
      <c r="D117" s="17"/>
      <c r="E117" s="41"/>
      <c r="F117" s="17"/>
      <c r="G117" s="17"/>
      <c r="H117" s="16"/>
      <c r="I117" s="17"/>
      <c r="J117" s="16"/>
      <c r="K117" s="17"/>
      <c r="L117" s="17"/>
      <c r="M117" s="17"/>
      <c r="N117" s="17"/>
      <c r="O117" s="17"/>
      <c r="P117" s="17"/>
      <c r="Q117" s="16"/>
      <c r="R117" s="16"/>
      <c r="S117" s="16"/>
      <c r="T117" s="18"/>
      <c r="U117" s="16"/>
      <c r="V117" s="16"/>
      <c r="W117" s="17"/>
      <c r="X117" s="17"/>
      <c r="Y117" s="16"/>
      <c r="Z117" s="18"/>
      <c r="AA117" s="17"/>
      <c r="AB117" s="19"/>
      <c r="AC117" s="17"/>
      <c r="AD117" s="27"/>
      <c r="AE117" s="22"/>
      <c r="AF117" s="23"/>
      <c r="AG117" s="23"/>
      <c r="AH117" s="24" t="s">
        <v>42</v>
      </c>
      <c r="AI117" s="24" t="s">
        <v>42</v>
      </c>
      <c r="AJ117" s="28" t="s">
        <v>42</v>
      </c>
      <c r="AK117" s="24" t="s">
        <v>42</v>
      </c>
    </row>
    <row r="118" ht="22.5" customHeight="1">
      <c r="A118" s="15"/>
      <c r="B118" s="16"/>
      <c r="C118" s="17"/>
      <c r="D118" s="17"/>
      <c r="E118" s="41"/>
      <c r="F118" s="17"/>
      <c r="G118" s="17"/>
      <c r="H118" s="16"/>
      <c r="I118" s="17"/>
      <c r="J118" s="16"/>
      <c r="K118" s="17"/>
      <c r="L118" s="17"/>
      <c r="M118" s="17"/>
      <c r="N118" s="17"/>
      <c r="O118" s="17"/>
      <c r="P118" s="17"/>
      <c r="Q118" s="16"/>
      <c r="R118" s="16"/>
      <c r="S118" s="16"/>
      <c r="T118" s="18"/>
      <c r="U118" s="16"/>
      <c r="V118" s="16"/>
      <c r="W118" s="17"/>
      <c r="X118" s="17"/>
      <c r="Y118" s="16"/>
      <c r="Z118" s="18"/>
      <c r="AA118" s="17"/>
      <c r="AB118" s="19"/>
      <c r="AC118" s="17"/>
      <c r="AD118" s="27"/>
      <c r="AE118" s="22"/>
      <c r="AF118" s="23"/>
      <c r="AG118" s="23"/>
      <c r="AH118" s="24" t="s">
        <v>42</v>
      </c>
      <c r="AI118" s="24" t="s">
        <v>42</v>
      </c>
      <c r="AJ118" s="28" t="s">
        <v>42</v>
      </c>
      <c r="AK118" s="24" t="s">
        <v>42</v>
      </c>
    </row>
    <row r="119" ht="22.5" customHeight="1">
      <c r="A119" s="15"/>
      <c r="B119" s="16"/>
      <c r="C119" s="17"/>
      <c r="D119" s="17"/>
      <c r="E119" s="41"/>
      <c r="F119" s="17"/>
      <c r="G119" s="17"/>
      <c r="H119" s="16"/>
      <c r="I119" s="17"/>
      <c r="J119" s="16"/>
      <c r="K119" s="17"/>
      <c r="L119" s="17"/>
      <c r="M119" s="17"/>
      <c r="N119" s="17"/>
      <c r="O119" s="17"/>
      <c r="P119" s="17"/>
      <c r="Q119" s="16"/>
      <c r="R119" s="16"/>
      <c r="S119" s="16"/>
      <c r="T119" s="18"/>
      <c r="U119" s="16"/>
      <c r="V119" s="16"/>
      <c r="W119" s="17"/>
      <c r="X119" s="17"/>
      <c r="Y119" s="16"/>
      <c r="Z119" s="18"/>
      <c r="AA119" s="19"/>
      <c r="AB119" s="19"/>
      <c r="AC119" s="17"/>
      <c r="AD119" s="27"/>
      <c r="AE119" s="22"/>
      <c r="AF119" s="23"/>
      <c r="AG119" s="23"/>
      <c r="AH119" s="24" t="s">
        <v>42</v>
      </c>
      <c r="AI119" s="24" t="s">
        <v>42</v>
      </c>
      <c r="AJ119" s="28" t="s">
        <v>42</v>
      </c>
      <c r="AK119" s="24" t="s">
        <v>42</v>
      </c>
    </row>
    <row r="120" ht="22.5" customHeight="1">
      <c r="A120" s="15"/>
      <c r="B120" s="16"/>
      <c r="C120" s="17"/>
      <c r="D120" s="17"/>
      <c r="E120" s="41"/>
      <c r="F120" s="17"/>
      <c r="G120" s="17"/>
      <c r="H120" s="16"/>
      <c r="I120" s="17"/>
      <c r="J120" s="16"/>
      <c r="K120" s="17"/>
      <c r="L120" s="17"/>
      <c r="M120" s="17"/>
      <c r="N120" s="17"/>
      <c r="O120" s="17"/>
      <c r="P120" s="17"/>
      <c r="Q120" s="16"/>
      <c r="R120" s="16"/>
      <c r="S120" s="16"/>
      <c r="T120" s="18"/>
      <c r="U120" s="16"/>
      <c r="V120" s="16"/>
      <c r="W120" s="17"/>
      <c r="X120" s="17"/>
      <c r="Y120" s="16"/>
      <c r="Z120" s="18"/>
      <c r="AA120" s="19"/>
      <c r="AB120" s="19"/>
      <c r="AC120" s="17"/>
      <c r="AD120" s="27"/>
      <c r="AE120" s="22"/>
      <c r="AF120" s="23"/>
      <c r="AG120" s="23"/>
      <c r="AH120" s="24" t="s">
        <v>42</v>
      </c>
      <c r="AI120" s="24" t="s">
        <v>42</v>
      </c>
      <c r="AJ120" s="28" t="s">
        <v>42</v>
      </c>
      <c r="AK120" s="24" t="s">
        <v>42</v>
      </c>
    </row>
    <row r="121" ht="22.5" customHeight="1">
      <c r="A121" s="15"/>
      <c r="B121" s="16"/>
      <c r="C121" s="17"/>
      <c r="D121" s="17"/>
      <c r="E121" s="41"/>
      <c r="F121" s="17"/>
      <c r="G121" s="17"/>
      <c r="H121" s="16"/>
      <c r="I121" s="17"/>
      <c r="J121" s="16"/>
      <c r="K121" s="17"/>
      <c r="L121" s="17"/>
      <c r="M121" s="17"/>
      <c r="N121" s="17"/>
      <c r="O121" s="17"/>
      <c r="P121" s="17"/>
      <c r="Q121" s="16"/>
      <c r="R121" s="16"/>
      <c r="S121" s="16"/>
      <c r="T121" s="18"/>
      <c r="U121" s="16"/>
      <c r="V121" s="16"/>
      <c r="W121" s="17"/>
      <c r="X121" s="17"/>
      <c r="Y121" s="16"/>
      <c r="Z121" s="18"/>
      <c r="AA121" s="17"/>
      <c r="AB121" s="17"/>
      <c r="AC121" s="17"/>
      <c r="AD121" s="27"/>
      <c r="AE121" s="22"/>
      <c r="AF121" s="23"/>
      <c r="AG121" s="23"/>
      <c r="AH121" s="24" t="s">
        <v>42</v>
      </c>
      <c r="AI121" s="24" t="s">
        <v>42</v>
      </c>
      <c r="AJ121" s="28" t="s">
        <v>42</v>
      </c>
      <c r="AK121" s="24" t="s">
        <v>42</v>
      </c>
    </row>
    <row r="122" ht="22.5" customHeight="1">
      <c r="A122" s="15"/>
      <c r="B122" s="16"/>
      <c r="C122" s="17"/>
      <c r="D122" s="17"/>
      <c r="E122" s="41"/>
      <c r="F122" s="17"/>
      <c r="G122" s="17"/>
      <c r="H122" s="16"/>
      <c r="I122" s="17"/>
      <c r="J122" s="16"/>
      <c r="K122" s="17"/>
      <c r="L122" s="17"/>
      <c r="M122" s="17"/>
      <c r="N122" s="17"/>
      <c r="O122" s="17"/>
      <c r="P122" s="17"/>
      <c r="Q122" s="16"/>
      <c r="R122" s="16"/>
      <c r="S122" s="16"/>
      <c r="T122" s="18"/>
      <c r="U122" s="16"/>
      <c r="V122" s="16"/>
      <c r="W122" s="17"/>
      <c r="X122" s="17"/>
      <c r="Y122" s="16"/>
      <c r="Z122" s="18"/>
      <c r="AA122" s="19"/>
      <c r="AB122" s="19"/>
      <c r="AC122" s="17"/>
      <c r="AD122" s="27"/>
      <c r="AE122" s="22"/>
      <c r="AF122" s="23"/>
      <c r="AG122" s="23"/>
      <c r="AH122" s="24" t="s">
        <v>42</v>
      </c>
      <c r="AI122" s="24" t="s">
        <v>42</v>
      </c>
      <c r="AJ122" s="28" t="s">
        <v>42</v>
      </c>
      <c r="AK122" s="24" t="s">
        <v>42</v>
      </c>
    </row>
    <row r="123" ht="22.5" customHeight="1">
      <c r="A123" s="15"/>
      <c r="B123" s="16"/>
      <c r="C123" s="17"/>
      <c r="D123" s="17"/>
      <c r="E123" s="41"/>
      <c r="F123" s="17"/>
      <c r="G123" s="17"/>
      <c r="H123" s="16"/>
      <c r="I123" s="17"/>
      <c r="J123" s="16"/>
      <c r="K123" s="17"/>
      <c r="L123" s="17"/>
      <c r="M123" s="17"/>
      <c r="N123" s="17"/>
      <c r="O123" s="17"/>
      <c r="P123" s="17"/>
      <c r="Q123" s="16"/>
      <c r="R123" s="16"/>
      <c r="S123" s="16"/>
      <c r="T123" s="18"/>
      <c r="U123" s="16"/>
      <c r="V123" s="16"/>
      <c r="W123" s="17"/>
      <c r="X123" s="17"/>
      <c r="Y123" s="16"/>
      <c r="Z123" s="18"/>
      <c r="AA123" s="17"/>
      <c r="AB123" s="17"/>
      <c r="AC123" s="17"/>
      <c r="AD123" s="27"/>
      <c r="AE123" s="22"/>
      <c r="AF123" s="23"/>
      <c r="AG123" s="23"/>
      <c r="AH123" s="24" t="s">
        <v>42</v>
      </c>
      <c r="AI123" s="24" t="s">
        <v>42</v>
      </c>
      <c r="AJ123" s="28" t="s">
        <v>42</v>
      </c>
      <c r="AK123" s="24" t="s">
        <v>42</v>
      </c>
    </row>
    <row r="124" ht="22.5" customHeight="1">
      <c r="A124" s="15"/>
      <c r="B124" s="16"/>
      <c r="C124" s="17"/>
      <c r="D124" s="17"/>
      <c r="E124" s="41"/>
      <c r="F124" s="17"/>
      <c r="G124" s="17"/>
      <c r="H124" s="16"/>
      <c r="I124" s="17"/>
      <c r="J124" s="16"/>
      <c r="K124" s="17"/>
      <c r="L124" s="17"/>
      <c r="M124" s="17"/>
      <c r="N124" s="17"/>
      <c r="O124" s="17"/>
      <c r="P124" s="17"/>
      <c r="Q124" s="16"/>
      <c r="R124" s="16"/>
      <c r="S124" s="16"/>
      <c r="T124" s="18"/>
      <c r="U124" s="16"/>
      <c r="V124" s="16"/>
      <c r="W124" s="17"/>
      <c r="X124" s="17"/>
      <c r="Y124" s="16"/>
      <c r="Z124" s="18"/>
      <c r="AA124" s="17"/>
      <c r="AB124" s="17"/>
      <c r="AC124" s="17"/>
      <c r="AD124" s="27"/>
      <c r="AE124" s="22"/>
      <c r="AF124" s="23"/>
      <c r="AG124" s="23"/>
      <c r="AH124" s="24" t="s">
        <v>42</v>
      </c>
      <c r="AI124" s="24" t="s">
        <v>42</v>
      </c>
      <c r="AJ124" s="28" t="s">
        <v>42</v>
      </c>
      <c r="AK124" s="24" t="s">
        <v>42</v>
      </c>
    </row>
    <row r="125" ht="22.5" customHeight="1">
      <c r="A125" s="15"/>
      <c r="B125" s="16"/>
      <c r="C125" s="17"/>
      <c r="D125" s="17"/>
      <c r="E125" s="41"/>
      <c r="F125" s="17"/>
      <c r="G125" s="17"/>
      <c r="H125" s="16"/>
      <c r="I125" s="17"/>
      <c r="J125" s="16"/>
      <c r="K125" s="17"/>
      <c r="L125" s="17"/>
      <c r="M125" s="17"/>
      <c r="N125" s="17"/>
      <c r="O125" s="17"/>
      <c r="P125" s="17"/>
      <c r="Q125" s="16"/>
      <c r="R125" s="16"/>
      <c r="S125" s="16"/>
      <c r="T125" s="18"/>
      <c r="U125" s="16"/>
      <c r="V125" s="16"/>
      <c r="W125" s="17"/>
      <c r="X125" s="17"/>
      <c r="Y125" s="16"/>
      <c r="Z125" s="18"/>
      <c r="AA125" s="17"/>
      <c r="AB125" s="19"/>
      <c r="AC125" s="17"/>
      <c r="AD125" s="27"/>
      <c r="AE125" s="22"/>
      <c r="AF125" s="23"/>
      <c r="AG125" s="23"/>
      <c r="AH125" s="24" t="s">
        <v>42</v>
      </c>
      <c r="AI125" s="24" t="s">
        <v>42</v>
      </c>
      <c r="AJ125" s="28" t="s">
        <v>42</v>
      </c>
      <c r="AK125" s="24" t="s">
        <v>42</v>
      </c>
    </row>
    <row r="126" ht="22.5" customHeight="1">
      <c r="A126" s="15"/>
      <c r="B126" s="16"/>
      <c r="C126" s="17"/>
      <c r="D126" s="17"/>
      <c r="E126" s="41"/>
      <c r="F126" s="17"/>
      <c r="G126" s="17"/>
      <c r="H126" s="16"/>
      <c r="I126" s="17"/>
      <c r="J126" s="16"/>
      <c r="K126" s="17"/>
      <c r="L126" s="17"/>
      <c r="M126" s="17"/>
      <c r="N126" s="17"/>
      <c r="O126" s="17"/>
      <c r="P126" s="17"/>
      <c r="Q126" s="16"/>
      <c r="R126" s="16"/>
      <c r="S126" s="16"/>
      <c r="T126" s="18"/>
      <c r="U126" s="16"/>
      <c r="V126" s="16"/>
      <c r="W126" s="17"/>
      <c r="X126" s="17"/>
      <c r="Y126" s="16"/>
      <c r="Z126" s="18"/>
      <c r="AA126" s="17"/>
      <c r="AB126" s="17"/>
      <c r="AC126" s="17"/>
      <c r="AD126" s="27"/>
      <c r="AE126" s="22"/>
      <c r="AF126" s="23"/>
      <c r="AG126" s="23"/>
      <c r="AH126" s="24" t="s">
        <v>42</v>
      </c>
      <c r="AI126" s="24" t="s">
        <v>42</v>
      </c>
      <c r="AJ126" s="28" t="s">
        <v>42</v>
      </c>
      <c r="AK126" s="24" t="s">
        <v>42</v>
      </c>
    </row>
    <row r="127" ht="22.5" customHeight="1">
      <c r="A127" s="15"/>
      <c r="B127" s="16"/>
      <c r="C127" s="17"/>
      <c r="D127" s="17"/>
      <c r="E127" s="41"/>
      <c r="F127" s="17"/>
      <c r="G127" s="17"/>
      <c r="H127" s="16"/>
      <c r="I127" s="17"/>
      <c r="J127" s="16"/>
      <c r="K127" s="17"/>
      <c r="L127" s="17"/>
      <c r="M127" s="17"/>
      <c r="N127" s="17"/>
      <c r="O127" s="17"/>
      <c r="P127" s="17"/>
      <c r="Q127" s="16"/>
      <c r="R127" s="16"/>
      <c r="S127" s="16"/>
      <c r="T127" s="18"/>
      <c r="U127" s="16"/>
      <c r="V127" s="16"/>
      <c r="W127" s="18"/>
      <c r="X127" s="17"/>
      <c r="Y127" s="16"/>
      <c r="Z127" s="27"/>
      <c r="AA127" s="17"/>
      <c r="AB127" s="19"/>
      <c r="AC127" s="17"/>
      <c r="AD127" s="27"/>
      <c r="AE127" s="22"/>
      <c r="AF127" s="23"/>
      <c r="AG127" s="23"/>
      <c r="AH127" s="24" t="s">
        <v>42</v>
      </c>
      <c r="AI127" s="24" t="s">
        <v>42</v>
      </c>
      <c r="AJ127" s="28" t="s">
        <v>42</v>
      </c>
      <c r="AK127" s="24" t="s">
        <v>42</v>
      </c>
    </row>
    <row r="128" ht="22.5" customHeight="1">
      <c r="A128" s="15"/>
      <c r="B128" s="16"/>
      <c r="C128" s="17"/>
      <c r="D128" s="17"/>
      <c r="E128" s="41"/>
      <c r="F128" s="17"/>
      <c r="G128" s="17"/>
      <c r="H128" s="16"/>
      <c r="I128" s="17"/>
      <c r="J128" s="16"/>
      <c r="K128" s="17"/>
      <c r="L128" s="17"/>
      <c r="M128" s="17"/>
      <c r="N128" s="17"/>
      <c r="O128" s="17"/>
      <c r="P128" s="17"/>
      <c r="Q128" s="16"/>
      <c r="R128" s="16"/>
      <c r="S128" s="16"/>
      <c r="T128" s="18"/>
      <c r="U128" s="16"/>
      <c r="V128" s="16"/>
      <c r="W128" s="17"/>
      <c r="X128" s="17"/>
      <c r="Y128" s="16"/>
      <c r="Z128" s="18"/>
      <c r="AA128" s="17"/>
      <c r="AB128" s="19"/>
      <c r="AC128" s="17"/>
      <c r="AD128" s="27"/>
      <c r="AE128" s="22"/>
      <c r="AF128" s="23"/>
      <c r="AG128" s="23"/>
      <c r="AH128" s="24" t="s">
        <v>42</v>
      </c>
      <c r="AI128" s="24" t="s">
        <v>42</v>
      </c>
      <c r="AJ128" s="28" t="s">
        <v>42</v>
      </c>
      <c r="AK128" s="24" t="s">
        <v>42</v>
      </c>
    </row>
    <row r="129" ht="22.5" customHeight="1">
      <c r="A129" s="15"/>
      <c r="B129" s="16"/>
      <c r="C129" s="17"/>
      <c r="D129" s="17"/>
      <c r="E129" s="41"/>
      <c r="F129" s="17"/>
      <c r="G129" s="17"/>
      <c r="H129" s="16"/>
      <c r="I129" s="17"/>
      <c r="J129" s="16"/>
      <c r="K129" s="17"/>
      <c r="L129" s="17"/>
      <c r="M129" s="17"/>
      <c r="N129" s="17"/>
      <c r="O129" s="17"/>
      <c r="P129" s="17"/>
      <c r="Q129" s="16"/>
      <c r="R129" s="16"/>
      <c r="S129" s="16"/>
      <c r="T129" s="18"/>
      <c r="U129" s="16"/>
      <c r="V129" s="16"/>
      <c r="W129" s="17"/>
      <c r="X129" s="17"/>
      <c r="Y129" s="16"/>
      <c r="Z129" s="18"/>
      <c r="AA129" s="17"/>
      <c r="AB129" s="17"/>
      <c r="AC129" s="17"/>
      <c r="AD129" s="27"/>
      <c r="AE129" s="22"/>
      <c r="AF129" s="23"/>
      <c r="AG129" s="23"/>
      <c r="AH129" s="24" t="s">
        <v>42</v>
      </c>
      <c r="AI129" s="24" t="s">
        <v>42</v>
      </c>
      <c r="AJ129" s="28" t="s">
        <v>42</v>
      </c>
      <c r="AK129" s="24" t="s">
        <v>42</v>
      </c>
    </row>
    <row r="130" ht="22.5" customHeight="1">
      <c r="A130" s="15"/>
      <c r="B130" s="16"/>
      <c r="C130" s="17"/>
      <c r="D130" s="17"/>
      <c r="E130" s="41"/>
      <c r="F130" s="17"/>
      <c r="G130" s="17"/>
      <c r="H130" s="16"/>
      <c r="I130" s="17"/>
      <c r="J130" s="16"/>
      <c r="K130" s="17"/>
      <c r="L130" s="17"/>
      <c r="M130" s="17"/>
      <c r="N130" s="17"/>
      <c r="O130" s="17"/>
      <c r="P130" s="17"/>
      <c r="Q130" s="16"/>
      <c r="R130" s="16"/>
      <c r="S130" s="16"/>
      <c r="T130" s="18"/>
      <c r="U130" s="16"/>
      <c r="V130" s="16"/>
      <c r="W130" s="17"/>
      <c r="X130" s="17"/>
      <c r="Y130" s="16"/>
      <c r="Z130" s="18"/>
      <c r="AA130" s="17"/>
      <c r="AB130" s="19"/>
      <c r="AC130" s="17"/>
      <c r="AD130" s="27"/>
      <c r="AE130" s="22"/>
      <c r="AF130" s="23"/>
      <c r="AG130" s="23"/>
      <c r="AH130" s="24" t="s">
        <v>42</v>
      </c>
      <c r="AI130" s="24" t="s">
        <v>42</v>
      </c>
      <c r="AJ130" s="28" t="s">
        <v>42</v>
      </c>
      <c r="AK130" s="24" t="s">
        <v>42</v>
      </c>
    </row>
    <row r="131" ht="22.5" customHeight="1">
      <c r="A131" s="15"/>
      <c r="B131" s="16"/>
      <c r="C131" s="17"/>
      <c r="D131" s="17"/>
      <c r="E131" s="41"/>
      <c r="F131" s="17"/>
      <c r="G131" s="17"/>
      <c r="H131" s="16"/>
      <c r="I131" s="17"/>
      <c r="J131" s="16"/>
      <c r="K131" s="17"/>
      <c r="L131" s="17"/>
      <c r="M131" s="17"/>
      <c r="N131" s="17"/>
      <c r="O131" s="17"/>
      <c r="P131" s="17"/>
      <c r="Q131" s="16"/>
      <c r="R131" s="16"/>
      <c r="S131" s="16"/>
      <c r="T131" s="18"/>
      <c r="U131" s="16"/>
      <c r="V131" s="16"/>
      <c r="W131" s="17"/>
      <c r="X131" s="17"/>
      <c r="Y131" s="16"/>
      <c r="Z131" s="18"/>
      <c r="AA131" s="17"/>
      <c r="AB131" s="17"/>
      <c r="AC131" s="17"/>
      <c r="AD131" s="27"/>
      <c r="AE131" s="22"/>
      <c r="AF131" s="23"/>
      <c r="AG131" s="23"/>
      <c r="AH131" s="24" t="s">
        <v>42</v>
      </c>
      <c r="AI131" s="24" t="s">
        <v>42</v>
      </c>
      <c r="AJ131" s="28" t="s">
        <v>42</v>
      </c>
      <c r="AK131" s="24" t="s">
        <v>42</v>
      </c>
    </row>
    <row r="132" ht="22.5" customHeight="1">
      <c r="A132" s="15"/>
      <c r="B132" s="16"/>
      <c r="C132" s="17"/>
      <c r="D132" s="17"/>
      <c r="E132" s="41"/>
      <c r="F132" s="17"/>
      <c r="G132" s="17"/>
      <c r="H132" s="16"/>
      <c r="I132" s="17"/>
      <c r="J132" s="16"/>
      <c r="K132" s="17"/>
      <c r="L132" s="17"/>
      <c r="M132" s="17"/>
      <c r="N132" s="17"/>
      <c r="O132" s="17"/>
      <c r="P132" s="17"/>
      <c r="Q132" s="16"/>
      <c r="R132" s="16"/>
      <c r="S132" s="16"/>
      <c r="T132" s="18"/>
      <c r="U132" s="16"/>
      <c r="V132" s="16"/>
      <c r="W132" s="17"/>
      <c r="X132" s="17"/>
      <c r="Y132" s="16"/>
      <c r="Z132" s="18"/>
      <c r="AA132" s="17"/>
      <c r="AB132" s="19"/>
      <c r="AC132" s="17"/>
      <c r="AD132" s="27"/>
      <c r="AE132" s="22"/>
      <c r="AF132" s="23"/>
      <c r="AG132" s="23"/>
      <c r="AH132" s="24" t="s">
        <v>42</v>
      </c>
      <c r="AI132" s="24" t="s">
        <v>42</v>
      </c>
      <c r="AJ132" s="28" t="s">
        <v>42</v>
      </c>
      <c r="AK132" s="24" t="s">
        <v>42</v>
      </c>
    </row>
    <row r="133" ht="22.5" customHeight="1">
      <c r="A133" s="15"/>
      <c r="B133" s="16"/>
      <c r="C133" s="17"/>
      <c r="D133" s="17"/>
      <c r="E133" s="41"/>
      <c r="F133" s="17"/>
      <c r="G133" s="17"/>
      <c r="H133" s="16"/>
      <c r="I133" s="17"/>
      <c r="J133" s="16"/>
      <c r="K133" s="17"/>
      <c r="L133" s="17"/>
      <c r="M133" s="17"/>
      <c r="N133" s="17"/>
      <c r="O133" s="17"/>
      <c r="P133" s="17"/>
      <c r="Q133" s="16"/>
      <c r="R133" s="16"/>
      <c r="S133" s="16"/>
      <c r="T133" s="18"/>
      <c r="U133" s="16"/>
      <c r="V133" s="16"/>
      <c r="W133" s="17"/>
      <c r="X133" s="17"/>
      <c r="Y133" s="16"/>
      <c r="Z133" s="18"/>
      <c r="AA133" s="17"/>
      <c r="AB133" s="19"/>
      <c r="AC133" s="17"/>
      <c r="AD133" s="27"/>
      <c r="AE133" s="22"/>
      <c r="AF133" s="23"/>
      <c r="AG133" s="23"/>
      <c r="AH133" s="24" t="s">
        <v>42</v>
      </c>
      <c r="AI133" s="24" t="s">
        <v>42</v>
      </c>
      <c r="AJ133" s="28" t="s">
        <v>42</v>
      </c>
      <c r="AK133" s="24" t="s">
        <v>42</v>
      </c>
    </row>
    <row r="134" ht="22.5" customHeight="1">
      <c r="A134" s="15"/>
      <c r="B134" s="16"/>
      <c r="C134" s="17"/>
      <c r="D134" s="17"/>
      <c r="E134" s="41"/>
      <c r="F134" s="17"/>
      <c r="G134" s="17"/>
      <c r="H134" s="16"/>
      <c r="I134" s="17"/>
      <c r="J134" s="16"/>
      <c r="K134" s="17"/>
      <c r="L134" s="17"/>
      <c r="M134" s="17"/>
      <c r="N134" s="17"/>
      <c r="O134" s="17"/>
      <c r="P134" s="17"/>
      <c r="Q134" s="16"/>
      <c r="R134" s="16"/>
      <c r="S134" s="16"/>
      <c r="T134" s="18"/>
      <c r="U134" s="16"/>
      <c r="V134" s="16"/>
      <c r="W134" s="17"/>
      <c r="X134" s="17"/>
      <c r="Y134" s="16"/>
      <c r="Z134" s="18"/>
      <c r="AA134" s="17"/>
      <c r="AB134" s="19"/>
      <c r="AC134" s="17"/>
      <c r="AD134" s="27"/>
      <c r="AE134" s="22"/>
      <c r="AF134" s="23"/>
      <c r="AG134" s="23"/>
      <c r="AH134" s="24" t="s">
        <v>42</v>
      </c>
      <c r="AI134" s="24" t="s">
        <v>42</v>
      </c>
      <c r="AJ134" s="28" t="s">
        <v>42</v>
      </c>
      <c r="AK134" s="24" t="s">
        <v>42</v>
      </c>
    </row>
    <row r="135" ht="22.5" customHeight="1">
      <c r="A135" s="15"/>
      <c r="B135" s="16"/>
      <c r="C135" s="17"/>
      <c r="D135" s="17"/>
      <c r="E135" s="41"/>
      <c r="F135" s="17"/>
      <c r="G135" s="17"/>
      <c r="H135" s="16"/>
      <c r="I135" s="17"/>
      <c r="J135" s="16"/>
      <c r="K135" s="17"/>
      <c r="L135" s="17"/>
      <c r="M135" s="17"/>
      <c r="N135" s="17"/>
      <c r="O135" s="17"/>
      <c r="P135" s="17"/>
      <c r="Q135" s="16"/>
      <c r="R135" s="16"/>
      <c r="S135" s="16"/>
      <c r="T135" s="18"/>
      <c r="U135" s="16"/>
      <c r="V135" s="16"/>
      <c r="W135" s="17"/>
      <c r="X135" s="17"/>
      <c r="Y135" s="16"/>
      <c r="Z135" s="18"/>
      <c r="AA135" s="17"/>
      <c r="AB135" s="17"/>
      <c r="AC135" s="17"/>
      <c r="AD135" s="27"/>
      <c r="AE135" s="22"/>
      <c r="AF135" s="23"/>
      <c r="AG135" s="23"/>
      <c r="AH135" s="24" t="s">
        <v>42</v>
      </c>
      <c r="AI135" s="24" t="s">
        <v>42</v>
      </c>
      <c r="AJ135" s="28" t="s">
        <v>42</v>
      </c>
      <c r="AK135" s="24" t="s">
        <v>42</v>
      </c>
    </row>
    <row r="136" ht="22.5" customHeight="1">
      <c r="A136" s="15"/>
      <c r="B136" s="16"/>
      <c r="C136" s="17"/>
      <c r="D136" s="17"/>
      <c r="E136" s="41"/>
      <c r="F136" s="17"/>
      <c r="G136" s="17"/>
      <c r="H136" s="16"/>
      <c r="I136" s="17"/>
      <c r="J136" s="16"/>
      <c r="K136" s="17"/>
      <c r="L136" s="17"/>
      <c r="M136" s="17"/>
      <c r="N136" s="17"/>
      <c r="O136" s="17"/>
      <c r="P136" s="17"/>
      <c r="Q136" s="16"/>
      <c r="R136" s="16"/>
      <c r="S136" s="16"/>
      <c r="T136" s="18"/>
      <c r="U136" s="16"/>
      <c r="V136" s="16"/>
      <c r="W136" s="17"/>
      <c r="X136" s="17"/>
      <c r="Y136" s="16"/>
      <c r="Z136" s="27"/>
      <c r="AA136" s="17"/>
      <c r="AB136" s="19"/>
      <c r="AC136" s="17"/>
      <c r="AD136" s="18"/>
      <c r="AE136" s="22"/>
      <c r="AF136" s="23"/>
      <c r="AG136" s="23"/>
      <c r="AH136" s="24" t="s">
        <v>42</v>
      </c>
      <c r="AI136" s="24" t="s">
        <v>42</v>
      </c>
      <c r="AJ136" s="28" t="s">
        <v>42</v>
      </c>
      <c r="AK136" s="24" t="s">
        <v>42</v>
      </c>
    </row>
    <row r="137" ht="22.5" customHeight="1">
      <c r="A137" s="15"/>
      <c r="B137" s="16"/>
      <c r="C137" s="17"/>
      <c r="D137" s="17"/>
      <c r="E137" s="41"/>
      <c r="F137" s="17"/>
      <c r="G137" s="17"/>
      <c r="H137" s="16"/>
      <c r="I137" s="17"/>
      <c r="J137" s="16"/>
      <c r="K137" s="17"/>
      <c r="L137" s="17"/>
      <c r="M137" s="17"/>
      <c r="N137" s="17"/>
      <c r="O137" s="17"/>
      <c r="P137" s="17"/>
      <c r="Q137" s="16"/>
      <c r="R137" s="16"/>
      <c r="S137" s="16"/>
      <c r="T137" s="18"/>
      <c r="U137" s="16"/>
      <c r="V137" s="16"/>
      <c r="W137" s="18"/>
      <c r="X137" s="17"/>
      <c r="Y137" s="16"/>
      <c r="Z137" s="27"/>
      <c r="AA137" s="17"/>
      <c r="AB137" s="19"/>
      <c r="AC137" s="17"/>
      <c r="AD137" s="27"/>
      <c r="AE137" s="22"/>
      <c r="AF137" s="23"/>
      <c r="AG137" s="23"/>
      <c r="AH137" s="24" t="s">
        <v>42</v>
      </c>
      <c r="AI137" s="24" t="s">
        <v>42</v>
      </c>
      <c r="AJ137" s="28" t="s">
        <v>42</v>
      </c>
      <c r="AK137" s="24" t="s">
        <v>42</v>
      </c>
    </row>
    <row r="138" ht="22.5" customHeight="1">
      <c r="A138" s="15"/>
      <c r="B138" s="16"/>
      <c r="C138" s="17"/>
      <c r="D138" s="17"/>
      <c r="E138" s="41"/>
      <c r="F138" s="17"/>
      <c r="G138" s="17"/>
      <c r="H138" s="16"/>
      <c r="I138" s="17"/>
      <c r="J138" s="16"/>
      <c r="K138" s="17"/>
      <c r="L138" s="17"/>
      <c r="M138" s="17"/>
      <c r="N138" s="17"/>
      <c r="O138" s="17"/>
      <c r="P138" s="17"/>
      <c r="Q138" s="16"/>
      <c r="R138" s="16"/>
      <c r="S138" s="16"/>
      <c r="T138" s="18"/>
      <c r="U138" s="16"/>
      <c r="V138" s="16"/>
      <c r="W138" s="18"/>
      <c r="X138" s="17"/>
      <c r="Y138" s="16"/>
      <c r="Z138" s="27"/>
      <c r="AA138" s="17"/>
      <c r="AB138" s="19"/>
      <c r="AC138" s="17"/>
      <c r="AD138" s="27"/>
      <c r="AE138" s="22"/>
      <c r="AF138" s="23"/>
      <c r="AG138" s="23"/>
      <c r="AH138" s="24" t="s">
        <v>42</v>
      </c>
      <c r="AI138" s="24" t="s">
        <v>42</v>
      </c>
      <c r="AJ138" s="28" t="s">
        <v>42</v>
      </c>
      <c r="AK138" s="24" t="s">
        <v>42</v>
      </c>
    </row>
    <row r="139" ht="22.5" customHeight="1">
      <c r="A139" s="15"/>
      <c r="B139" s="16"/>
      <c r="C139" s="17"/>
      <c r="D139" s="17"/>
      <c r="E139" s="41"/>
      <c r="F139" s="17"/>
      <c r="G139" s="17"/>
      <c r="H139" s="16"/>
      <c r="I139" s="17"/>
      <c r="J139" s="16"/>
      <c r="K139" s="17"/>
      <c r="L139" s="17"/>
      <c r="M139" s="17"/>
      <c r="N139" s="17"/>
      <c r="O139" s="17"/>
      <c r="P139" s="17"/>
      <c r="Q139" s="16"/>
      <c r="R139" s="16"/>
      <c r="S139" s="16"/>
      <c r="T139" s="18"/>
      <c r="U139" s="16"/>
      <c r="V139" s="16"/>
      <c r="W139" s="17"/>
      <c r="X139" s="17"/>
      <c r="Y139" s="16"/>
      <c r="Z139" s="18"/>
      <c r="AA139" s="17"/>
      <c r="AB139" s="17"/>
      <c r="AC139" s="17"/>
      <c r="AD139" s="27"/>
      <c r="AE139" s="22"/>
      <c r="AF139" s="23"/>
      <c r="AG139" s="23"/>
      <c r="AH139" s="24" t="s">
        <v>42</v>
      </c>
      <c r="AI139" s="24" t="s">
        <v>42</v>
      </c>
      <c r="AJ139" s="28" t="s">
        <v>42</v>
      </c>
      <c r="AK139" s="24" t="s">
        <v>42</v>
      </c>
    </row>
    <row r="140" ht="22.5" customHeight="1">
      <c r="A140" s="15"/>
      <c r="B140" s="16"/>
      <c r="C140" s="17"/>
      <c r="D140" s="17"/>
      <c r="E140" s="41"/>
      <c r="F140" s="17"/>
      <c r="G140" s="17"/>
      <c r="H140" s="16"/>
      <c r="I140" s="17"/>
      <c r="J140" s="16"/>
      <c r="K140" s="17"/>
      <c r="L140" s="17"/>
      <c r="M140" s="17"/>
      <c r="N140" s="17"/>
      <c r="O140" s="17"/>
      <c r="P140" s="17"/>
      <c r="Q140" s="16"/>
      <c r="R140" s="16"/>
      <c r="S140" s="16"/>
      <c r="T140" s="18"/>
      <c r="U140" s="16"/>
      <c r="V140" s="16"/>
      <c r="W140" s="18"/>
      <c r="X140" s="17"/>
      <c r="Y140" s="16"/>
      <c r="Z140" s="27"/>
      <c r="AA140" s="17"/>
      <c r="AB140" s="19"/>
      <c r="AC140" s="17"/>
      <c r="AD140" s="27"/>
      <c r="AE140" s="22"/>
      <c r="AF140" s="23"/>
      <c r="AG140" s="23"/>
      <c r="AH140" s="24" t="s">
        <v>42</v>
      </c>
      <c r="AI140" s="24" t="s">
        <v>42</v>
      </c>
      <c r="AJ140" s="28" t="s">
        <v>42</v>
      </c>
      <c r="AK140" s="24" t="s">
        <v>42</v>
      </c>
    </row>
    <row r="141" ht="22.5" customHeight="1">
      <c r="A141" s="15"/>
      <c r="B141" s="16"/>
      <c r="C141" s="17"/>
      <c r="D141" s="17"/>
      <c r="E141" s="41"/>
      <c r="F141" s="17"/>
      <c r="G141" s="17"/>
      <c r="H141" s="16"/>
      <c r="I141" s="17"/>
      <c r="J141" s="16"/>
      <c r="K141" s="17"/>
      <c r="L141" s="17"/>
      <c r="M141" s="17"/>
      <c r="N141" s="17"/>
      <c r="O141" s="17"/>
      <c r="P141" s="17"/>
      <c r="Q141" s="16"/>
      <c r="R141" s="16"/>
      <c r="S141" s="16"/>
      <c r="T141" s="18"/>
      <c r="U141" s="16"/>
      <c r="V141" s="16"/>
      <c r="W141" s="18"/>
      <c r="X141" s="17"/>
      <c r="Y141" s="16"/>
      <c r="Z141" s="27"/>
      <c r="AA141" s="17"/>
      <c r="AB141" s="19"/>
      <c r="AC141" s="17"/>
      <c r="AD141" s="27"/>
      <c r="AE141" s="22"/>
      <c r="AF141" s="23"/>
      <c r="AG141" s="23"/>
      <c r="AH141" s="24" t="s">
        <v>42</v>
      </c>
      <c r="AI141" s="24" t="s">
        <v>42</v>
      </c>
      <c r="AJ141" s="28" t="s">
        <v>42</v>
      </c>
      <c r="AK141" s="24" t="s">
        <v>42</v>
      </c>
    </row>
    <row r="142" ht="22.5" customHeight="1">
      <c r="A142" s="15"/>
      <c r="B142" s="16"/>
      <c r="C142" s="17"/>
      <c r="D142" s="17"/>
      <c r="E142" s="41"/>
      <c r="F142" s="17"/>
      <c r="G142" s="17"/>
      <c r="H142" s="16"/>
      <c r="I142" s="17"/>
      <c r="J142" s="16"/>
      <c r="K142" s="17"/>
      <c r="L142" s="17"/>
      <c r="M142" s="17"/>
      <c r="N142" s="17"/>
      <c r="O142" s="17"/>
      <c r="P142" s="17"/>
      <c r="Q142" s="16"/>
      <c r="R142" s="16"/>
      <c r="S142" s="16"/>
      <c r="T142" s="18"/>
      <c r="U142" s="16"/>
      <c r="V142" s="16"/>
      <c r="W142" s="18"/>
      <c r="X142" s="17"/>
      <c r="Y142" s="16"/>
      <c r="Z142" s="27"/>
      <c r="AA142" s="17"/>
      <c r="AB142" s="19"/>
      <c r="AC142" s="17"/>
      <c r="AD142" s="18"/>
      <c r="AE142" s="22"/>
      <c r="AF142" s="23"/>
      <c r="AG142" s="23"/>
      <c r="AH142" s="24" t="s">
        <v>42</v>
      </c>
      <c r="AI142" s="24" t="s">
        <v>42</v>
      </c>
      <c r="AJ142" s="28" t="s">
        <v>42</v>
      </c>
      <c r="AK142" s="24" t="s">
        <v>42</v>
      </c>
    </row>
    <row r="143" ht="22.5" customHeight="1">
      <c r="A143" s="15"/>
      <c r="B143" s="16"/>
      <c r="C143" s="17"/>
      <c r="D143" s="17"/>
      <c r="E143" s="41"/>
      <c r="F143" s="17"/>
      <c r="G143" s="17"/>
      <c r="H143" s="16"/>
      <c r="I143" s="17"/>
      <c r="J143" s="16"/>
      <c r="K143" s="17"/>
      <c r="L143" s="17"/>
      <c r="M143" s="17"/>
      <c r="N143" s="17"/>
      <c r="O143" s="17"/>
      <c r="P143" s="17"/>
      <c r="Q143" s="16"/>
      <c r="R143" s="16"/>
      <c r="S143" s="16"/>
      <c r="T143" s="18"/>
      <c r="U143" s="16"/>
      <c r="V143" s="16"/>
      <c r="W143" s="18"/>
      <c r="X143" s="17"/>
      <c r="Y143" s="16"/>
      <c r="Z143" s="27"/>
      <c r="AA143" s="17"/>
      <c r="AB143" s="19"/>
      <c r="AC143" s="17"/>
      <c r="AD143" s="18"/>
      <c r="AE143" s="22"/>
      <c r="AF143" s="23"/>
      <c r="AG143" s="23"/>
      <c r="AH143" s="24" t="s">
        <v>42</v>
      </c>
      <c r="AI143" s="24" t="s">
        <v>42</v>
      </c>
      <c r="AJ143" s="28" t="s">
        <v>42</v>
      </c>
      <c r="AK143" s="24" t="s">
        <v>42</v>
      </c>
    </row>
    <row r="144" ht="22.5" customHeight="1">
      <c r="A144" s="15"/>
      <c r="B144" s="16"/>
      <c r="C144" s="17"/>
      <c r="D144" s="17"/>
      <c r="E144" s="41"/>
      <c r="F144" s="17"/>
      <c r="G144" s="17"/>
      <c r="H144" s="16"/>
      <c r="I144" s="17"/>
      <c r="J144" s="16"/>
      <c r="K144" s="17"/>
      <c r="L144" s="17"/>
      <c r="M144" s="17"/>
      <c r="N144" s="17"/>
      <c r="O144" s="17"/>
      <c r="P144" s="17"/>
      <c r="Q144" s="16"/>
      <c r="R144" s="16"/>
      <c r="S144" s="16"/>
      <c r="T144" s="18"/>
      <c r="U144" s="16"/>
      <c r="V144" s="16"/>
      <c r="W144" s="18"/>
      <c r="X144" s="17"/>
      <c r="Y144" s="16"/>
      <c r="Z144" s="27"/>
      <c r="AA144" s="17"/>
      <c r="AB144" s="19"/>
      <c r="AC144" s="17"/>
      <c r="AD144" s="27"/>
      <c r="AE144" s="22"/>
      <c r="AF144" s="23"/>
      <c r="AG144" s="23"/>
      <c r="AH144" s="24" t="s">
        <v>42</v>
      </c>
      <c r="AI144" s="24" t="s">
        <v>42</v>
      </c>
      <c r="AJ144" s="28" t="s">
        <v>42</v>
      </c>
      <c r="AK144" s="24" t="s">
        <v>42</v>
      </c>
    </row>
    <row r="145" ht="22.5" customHeight="1">
      <c r="A145" s="15"/>
      <c r="B145" s="16"/>
      <c r="C145" s="17"/>
      <c r="D145" s="17"/>
      <c r="E145" s="41"/>
      <c r="F145" s="17"/>
      <c r="G145" s="17"/>
      <c r="H145" s="16"/>
      <c r="I145" s="17"/>
      <c r="J145" s="16"/>
      <c r="K145" s="17"/>
      <c r="L145" s="17"/>
      <c r="M145" s="17"/>
      <c r="N145" s="17"/>
      <c r="O145" s="17"/>
      <c r="P145" s="17"/>
      <c r="Q145" s="16"/>
      <c r="R145" s="16"/>
      <c r="S145" s="16"/>
      <c r="T145" s="18"/>
      <c r="U145" s="16"/>
      <c r="V145" s="16"/>
      <c r="W145" s="17"/>
      <c r="X145" s="17"/>
      <c r="Y145" s="16"/>
      <c r="Z145" s="27"/>
      <c r="AA145" s="17"/>
      <c r="AB145" s="19"/>
      <c r="AC145" s="17"/>
      <c r="AD145" s="18"/>
      <c r="AE145" s="22"/>
      <c r="AF145" s="23"/>
      <c r="AG145" s="23"/>
      <c r="AH145" s="24" t="s">
        <v>42</v>
      </c>
      <c r="AI145" s="24" t="s">
        <v>42</v>
      </c>
      <c r="AJ145" s="28" t="s">
        <v>42</v>
      </c>
      <c r="AK145" s="24" t="s">
        <v>42</v>
      </c>
    </row>
    <row r="146" ht="22.5" customHeight="1">
      <c r="A146" s="15"/>
      <c r="B146" s="16"/>
      <c r="C146" s="17"/>
      <c r="D146" s="17"/>
      <c r="E146" s="41"/>
      <c r="F146" s="17"/>
      <c r="G146" s="17"/>
      <c r="H146" s="16"/>
      <c r="I146" s="17"/>
      <c r="J146" s="16"/>
      <c r="K146" s="17"/>
      <c r="L146" s="17"/>
      <c r="M146" s="17"/>
      <c r="N146" s="17"/>
      <c r="O146" s="17"/>
      <c r="P146" s="17"/>
      <c r="Q146" s="16"/>
      <c r="R146" s="16"/>
      <c r="S146" s="16"/>
      <c r="T146" s="18"/>
      <c r="U146" s="16"/>
      <c r="V146" s="16"/>
      <c r="W146" s="18"/>
      <c r="X146" s="17"/>
      <c r="Y146" s="16"/>
      <c r="Z146" s="27"/>
      <c r="AA146" s="17"/>
      <c r="AB146" s="19"/>
      <c r="AC146" s="17"/>
      <c r="AD146" s="18"/>
      <c r="AE146" s="22"/>
      <c r="AF146" s="23"/>
      <c r="AG146" s="23"/>
      <c r="AH146" s="24" t="s">
        <v>42</v>
      </c>
      <c r="AI146" s="24" t="s">
        <v>42</v>
      </c>
      <c r="AJ146" s="28" t="s">
        <v>42</v>
      </c>
      <c r="AK146" s="24" t="s">
        <v>42</v>
      </c>
    </row>
    <row r="147" ht="22.5" customHeight="1">
      <c r="A147" s="15"/>
      <c r="B147" s="16"/>
      <c r="C147" s="17"/>
      <c r="D147" s="17"/>
      <c r="E147" s="41"/>
      <c r="F147" s="17"/>
      <c r="G147" s="17"/>
      <c r="H147" s="16"/>
      <c r="I147" s="17"/>
      <c r="J147" s="16"/>
      <c r="K147" s="17"/>
      <c r="L147" s="17"/>
      <c r="M147" s="17"/>
      <c r="N147" s="17"/>
      <c r="O147" s="17"/>
      <c r="P147" s="17"/>
      <c r="Q147" s="16"/>
      <c r="R147" s="16"/>
      <c r="S147" s="16"/>
      <c r="T147" s="18"/>
      <c r="U147" s="16"/>
      <c r="V147" s="16"/>
      <c r="W147" s="18"/>
      <c r="X147" s="17"/>
      <c r="Y147" s="16"/>
      <c r="Z147" s="27"/>
      <c r="AA147" s="17"/>
      <c r="AB147" s="19"/>
      <c r="AC147" s="17"/>
      <c r="AD147" s="18"/>
      <c r="AE147" s="22"/>
      <c r="AF147" s="23"/>
      <c r="AG147" s="23"/>
      <c r="AH147" s="24" t="s">
        <v>42</v>
      </c>
      <c r="AI147" s="24" t="s">
        <v>42</v>
      </c>
      <c r="AJ147" s="28" t="s">
        <v>42</v>
      </c>
      <c r="AK147" s="24" t="s">
        <v>42</v>
      </c>
    </row>
    <row r="148" ht="22.5" customHeight="1">
      <c r="A148" s="15"/>
      <c r="B148" s="16"/>
      <c r="C148" s="17"/>
      <c r="D148" s="17"/>
      <c r="E148" s="41"/>
      <c r="F148" s="17"/>
      <c r="G148" s="17"/>
      <c r="H148" s="16"/>
      <c r="I148" s="17"/>
      <c r="J148" s="16"/>
      <c r="K148" s="17"/>
      <c r="L148" s="17"/>
      <c r="M148" s="17"/>
      <c r="N148" s="17"/>
      <c r="O148" s="17"/>
      <c r="P148" s="17"/>
      <c r="Q148" s="16"/>
      <c r="R148" s="16"/>
      <c r="S148" s="16"/>
      <c r="T148" s="18"/>
      <c r="U148" s="16"/>
      <c r="V148" s="16"/>
      <c r="W148" s="18"/>
      <c r="X148" s="17"/>
      <c r="Y148" s="16"/>
      <c r="Z148" s="27"/>
      <c r="AA148" s="17"/>
      <c r="AB148" s="19"/>
      <c r="AC148" s="17"/>
      <c r="AD148" s="18"/>
      <c r="AE148" s="22"/>
      <c r="AF148" s="23"/>
      <c r="AG148" s="23"/>
      <c r="AH148" s="24" t="s">
        <v>42</v>
      </c>
      <c r="AI148" s="24" t="s">
        <v>42</v>
      </c>
      <c r="AJ148" s="28" t="s">
        <v>42</v>
      </c>
      <c r="AK148" s="24" t="s">
        <v>42</v>
      </c>
    </row>
    <row r="149" ht="22.5" customHeight="1">
      <c r="A149" s="15"/>
      <c r="B149" s="16"/>
      <c r="C149" s="17"/>
      <c r="D149" s="17"/>
      <c r="E149" s="41"/>
      <c r="F149" s="17"/>
      <c r="G149" s="17"/>
      <c r="H149" s="16"/>
      <c r="I149" s="17"/>
      <c r="J149" s="16"/>
      <c r="K149" s="17"/>
      <c r="L149" s="17"/>
      <c r="M149" s="17"/>
      <c r="N149" s="17"/>
      <c r="O149" s="17"/>
      <c r="P149" s="17"/>
      <c r="Q149" s="16"/>
      <c r="R149" s="16"/>
      <c r="S149" s="16"/>
      <c r="T149" s="18"/>
      <c r="U149" s="16"/>
      <c r="V149" s="16"/>
      <c r="W149" s="18"/>
      <c r="X149" s="17"/>
      <c r="Y149" s="16"/>
      <c r="Z149" s="27"/>
      <c r="AA149" s="17"/>
      <c r="AB149" s="19"/>
      <c r="AC149" s="17"/>
      <c r="AD149" s="18"/>
      <c r="AE149" s="22"/>
      <c r="AF149" s="23"/>
      <c r="AG149" s="23"/>
      <c r="AH149" s="24" t="s">
        <v>42</v>
      </c>
      <c r="AI149" s="24" t="s">
        <v>42</v>
      </c>
      <c r="AJ149" s="28" t="s">
        <v>42</v>
      </c>
      <c r="AK149" s="24" t="s">
        <v>42</v>
      </c>
    </row>
    <row r="150" ht="22.5" customHeight="1">
      <c r="A150" s="15"/>
      <c r="B150" s="16"/>
      <c r="C150" s="17"/>
      <c r="D150" s="17"/>
      <c r="E150" s="41"/>
      <c r="F150" s="17"/>
      <c r="G150" s="17"/>
      <c r="H150" s="16"/>
      <c r="I150" s="17"/>
      <c r="J150" s="16"/>
      <c r="K150" s="17"/>
      <c r="L150" s="17"/>
      <c r="M150" s="17"/>
      <c r="N150" s="17"/>
      <c r="O150" s="17"/>
      <c r="P150" s="17"/>
      <c r="Q150" s="16"/>
      <c r="R150" s="16"/>
      <c r="S150" s="16"/>
      <c r="T150" s="18"/>
      <c r="U150" s="16"/>
      <c r="V150" s="16"/>
      <c r="W150" s="18"/>
      <c r="X150" s="17"/>
      <c r="Y150" s="16"/>
      <c r="Z150" s="27"/>
      <c r="AA150" s="17"/>
      <c r="AB150" s="19"/>
      <c r="AC150" s="17"/>
      <c r="AD150" s="18"/>
      <c r="AE150" s="22"/>
      <c r="AF150" s="23"/>
      <c r="AG150" s="23"/>
      <c r="AH150" s="24" t="s">
        <v>42</v>
      </c>
      <c r="AI150" s="24" t="s">
        <v>42</v>
      </c>
      <c r="AJ150" s="28" t="s">
        <v>42</v>
      </c>
      <c r="AK150" s="24" t="s">
        <v>42</v>
      </c>
    </row>
    <row r="151" ht="22.5" customHeight="1">
      <c r="A151" s="15"/>
      <c r="B151" s="16"/>
      <c r="C151" s="17"/>
      <c r="D151" s="17"/>
      <c r="E151" s="18"/>
      <c r="F151" s="17"/>
      <c r="G151" s="17"/>
      <c r="H151" s="16"/>
      <c r="I151" s="17"/>
      <c r="J151" s="16"/>
      <c r="K151" s="17"/>
      <c r="L151" s="17"/>
      <c r="M151" s="17"/>
      <c r="N151" s="17"/>
      <c r="O151" s="17"/>
      <c r="P151" s="19"/>
      <c r="Q151" s="16"/>
      <c r="R151" s="16"/>
      <c r="S151" s="16"/>
      <c r="T151" s="18"/>
      <c r="U151" s="16"/>
      <c r="V151" s="16"/>
      <c r="W151" s="18"/>
      <c r="X151" s="17"/>
      <c r="Y151" s="16"/>
      <c r="Z151" s="27"/>
      <c r="AA151" s="17"/>
      <c r="AB151" s="19"/>
      <c r="AC151" s="17"/>
      <c r="AD151" s="18"/>
      <c r="AE151" s="22"/>
      <c r="AF151" s="23"/>
      <c r="AG151" s="23"/>
      <c r="AH151" s="24" t="s">
        <v>42</v>
      </c>
      <c r="AI151" s="24" t="s">
        <v>42</v>
      </c>
      <c r="AJ151" s="28" t="s">
        <v>42</v>
      </c>
      <c r="AK151" s="24" t="s">
        <v>42</v>
      </c>
    </row>
    <row r="152" ht="22.5" customHeight="1">
      <c r="A152" s="15"/>
      <c r="B152" s="16"/>
      <c r="C152" s="17"/>
      <c r="D152" s="17"/>
      <c r="E152" s="18"/>
      <c r="F152" s="17"/>
      <c r="G152" s="17"/>
      <c r="H152" s="16"/>
      <c r="I152" s="17"/>
      <c r="J152" s="16"/>
      <c r="K152" s="17"/>
      <c r="L152" s="17"/>
      <c r="M152" s="17"/>
      <c r="N152" s="17"/>
      <c r="O152" s="17"/>
      <c r="P152" s="19"/>
      <c r="Q152" s="16"/>
      <c r="R152" s="16"/>
      <c r="S152" s="16"/>
      <c r="T152" s="18"/>
      <c r="U152" s="16"/>
      <c r="V152" s="16"/>
      <c r="W152" s="18"/>
      <c r="X152" s="17"/>
      <c r="Y152" s="16"/>
      <c r="Z152" s="27"/>
      <c r="AA152" s="17"/>
      <c r="AB152" s="19"/>
      <c r="AC152" s="17"/>
      <c r="AD152" s="18"/>
      <c r="AE152" s="22"/>
      <c r="AF152" s="23"/>
      <c r="AG152" s="23"/>
      <c r="AH152" s="24" t="s">
        <v>42</v>
      </c>
      <c r="AI152" s="24" t="s">
        <v>42</v>
      </c>
      <c r="AJ152" s="28" t="s">
        <v>42</v>
      </c>
      <c r="AK152" s="24" t="s">
        <v>42</v>
      </c>
    </row>
    <row r="153" ht="22.5" customHeight="1">
      <c r="A153" s="15"/>
      <c r="B153" s="16"/>
      <c r="C153" s="17"/>
      <c r="D153" s="17"/>
      <c r="E153" s="18"/>
      <c r="F153" s="17"/>
      <c r="G153" s="17"/>
      <c r="H153" s="16"/>
      <c r="I153" s="17"/>
      <c r="J153" s="16"/>
      <c r="K153" s="17"/>
      <c r="L153" s="17"/>
      <c r="M153" s="17"/>
      <c r="N153" s="17"/>
      <c r="O153" s="17"/>
      <c r="P153" s="19"/>
      <c r="Q153" s="16"/>
      <c r="R153" s="16"/>
      <c r="S153" s="16"/>
      <c r="T153" s="18"/>
      <c r="U153" s="16"/>
      <c r="V153" s="16"/>
      <c r="W153" s="18"/>
      <c r="X153" s="17"/>
      <c r="Y153" s="16"/>
      <c r="Z153" s="27"/>
      <c r="AA153" s="17"/>
      <c r="AB153" s="19"/>
      <c r="AC153" s="17"/>
      <c r="AD153" s="18"/>
      <c r="AE153" s="22"/>
      <c r="AF153" s="23"/>
      <c r="AG153" s="23"/>
      <c r="AH153" s="24" t="s">
        <v>42</v>
      </c>
      <c r="AI153" s="24" t="s">
        <v>42</v>
      </c>
      <c r="AJ153" s="28" t="s">
        <v>42</v>
      </c>
      <c r="AK153" s="24" t="s">
        <v>42</v>
      </c>
    </row>
    <row r="154" ht="22.5" customHeight="1">
      <c r="A154" s="15"/>
      <c r="B154" s="16"/>
      <c r="C154" s="17"/>
      <c r="D154" s="17"/>
      <c r="E154" s="18"/>
      <c r="F154" s="17"/>
      <c r="G154" s="17"/>
      <c r="H154" s="16"/>
      <c r="I154" s="17"/>
      <c r="J154" s="16"/>
      <c r="K154" s="19"/>
      <c r="L154" s="17"/>
      <c r="M154" s="17"/>
      <c r="N154" s="17"/>
      <c r="O154" s="17"/>
      <c r="P154" s="19"/>
      <c r="Q154" s="16"/>
      <c r="R154" s="16"/>
      <c r="S154" s="16"/>
      <c r="T154" s="18"/>
      <c r="U154" s="16"/>
      <c r="V154" s="16"/>
      <c r="W154" s="18"/>
      <c r="X154" s="17"/>
      <c r="Y154" s="16"/>
      <c r="Z154" s="27"/>
      <c r="AA154" s="17"/>
      <c r="AB154" s="19"/>
      <c r="AC154" s="17"/>
      <c r="AD154" s="18"/>
      <c r="AE154" s="22"/>
      <c r="AF154" s="23"/>
      <c r="AG154" s="23"/>
      <c r="AH154" s="24" t="s">
        <v>42</v>
      </c>
      <c r="AI154" s="24" t="s">
        <v>42</v>
      </c>
      <c r="AJ154" s="28" t="s">
        <v>42</v>
      </c>
      <c r="AK154" s="24" t="s">
        <v>42</v>
      </c>
    </row>
    <row r="155" ht="22.5" customHeight="1">
      <c r="A155" s="15"/>
      <c r="B155" s="16"/>
      <c r="C155" s="17"/>
      <c r="D155" s="17"/>
      <c r="E155" s="18"/>
      <c r="F155" s="17"/>
      <c r="G155" s="17"/>
      <c r="H155" s="16"/>
      <c r="I155" s="17"/>
      <c r="J155" s="16"/>
      <c r="K155" s="17"/>
      <c r="L155" s="17"/>
      <c r="M155" s="17"/>
      <c r="N155" s="17"/>
      <c r="O155" s="17"/>
      <c r="P155" s="19"/>
      <c r="Q155" s="16"/>
      <c r="R155" s="16"/>
      <c r="S155" s="16"/>
      <c r="T155" s="18"/>
      <c r="U155" s="16"/>
      <c r="V155" s="16"/>
      <c r="W155" s="18"/>
      <c r="X155" s="17"/>
      <c r="Y155" s="16"/>
      <c r="Z155" s="27"/>
      <c r="AA155" s="17"/>
      <c r="AB155" s="19"/>
      <c r="AC155" s="17"/>
      <c r="AD155" s="18"/>
      <c r="AE155" s="22"/>
      <c r="AF155" s="23"/>
      <c r="AG155" s="23"/>
      <c r="AH155" s="24" t="s">
        <v>42</v>
      </c>
      <c r="AI155" s="24" t="s">
        <v>42</v>
      </c>
      <c r="AJ155" s="28" t="s">
        <v>42</v>
      </c>
      <c r="AK155" s="24" t="s">
        <v>42</v>
      </c>
    </row>
    <row r="156" ht="22.5" customHeight="1">
      <c r="A156" s="15"/>
      <c r="B156" s="16"/>
      <c r="C156" s="17"/>
      <c r="D156" s="17"/>
      <c r="E156" s="18"/>
      <c r="F156" s="17"/>
      <c r="G156" s="17"/>
      <c r="H156" s="16"/>
      <c r="I156" s="17"/>
      <c r="J156" s="16"/>
      <c r="K156" s="17"/>
      <c r="L156" s="17"/>
      <c r="M156" s="17"/>
      <c r="N156" s="17"/>
      <c r="O156" s="17"/>
      <c r="P156" s="19"/>
      <c r="Q156" s="16"/>
      <c r="R156" s="16"/>
      <c r="S156" s="16"/>
      <c r="T156" s="18"/>
      <c r="U156" s="16"/>
      <c r="V156" s="16"/>
      <c r="W156" s="18"/>
      <c r="X156" s="17"/>
      <c r="Y156" s="16"/>
      <c r="Z156" s="27"/>
      <c r="AA156" s="17"/>
      <c r="AB156" s="19"/>
      <c r="AC156" s="17"/>
      <c r="AD156" s="18"/>
      <c r="AE156" s="22"/>
      <c r="AF156" s="23"/>
      <c r="AG156" s="23"/>
      <c r="AH156" s="24" t="s">
        <v>42</v>
      </c>
      <c r="AI156" s="24" t="s">
        <v>42</v>
      </c>
      <c r="AJ156" s="28" t="s">
        <v>42</v>
      </c>
      <c r="AK156" s="24" t="s">
        <v>42</v>
      </c>
    </row>
    <row r="157" ht="22.5" customHeight="1">
      <c r="A157" s="15"/>
      <c r="B157" s="16"/>
      <c r="C157" s="17"/>
      <c r="D157" s="17"/>
      <c r="E157" s="18"/>
      <c r="F157" s="17"/>
      <c r="G157" s="17"/>
      <c r="H157" s="16"/>
      <c r="I157" s="17"/>
      <c r="J157" s="16"/>
      <c r="K157" s="17"/>
      <c r="L157" s="17"/>
      <c r="M157" s="17"/>
      <c r="N157" s="17"/>
      <c r="O157" s="17"/>
      <c r="P157" s="19"/>
      <c r="Q157" s="16"/>
      <c r="R157" s="16"/>
      <c r="S157" s="16"/>
      <c r="T157" s="18"/>
      <c r="U157" s="16"/>
      <c r="V157" s="16"/>
      <c r="W157" s="17"/>
      <c r="X157" s="17"/>
      <c r="Y157" s="16"/>
      <c r="Z157" s="18"/>
      <c r="AA157" s="17"/>
      <c r="AB157" s="17"/>
      <c r="AC157" s="17"/>
      <c r="AD157" s="18"/>
      <c r="AE157" s="22"/>
      <c r="AF157" s="23"/>
      <c r="AG157" s="23"/>
      <c r="AH157" s="24" t="s">
        <v>42</v>
      </c>
      <c r="AI157" s="24" t="s">
        <v>42</v>
      </c>
      <c r="AJ157" s="28" t="s">
        <v>42</v>
      </c>
      <c r="AK157" s="24" t="s">
        <v>42</v>
      </c>
    </row>
    <row r="158" ht="22.5" customHeight="1">
      <c r="A158" s="15"/>
      <c r="B158" s="16"/>
      <c r="C158" s="17"/>
      <c r="D158" s="17"/>
      <c r="E158" s="18"/>
      <c r="F158" s="17"/>
      <c r="G158" s="17"/>
      <c r="H158" s="16"/>
      <c r="I158" s="17"/>
      <c r="J158" s="16"/>
      <c r="K158" s="17"/>
      <c r="L158" s="17"/>
      <c r="M158" s="17"/>
      <c r="N158" s="17"/>
      <c r="O158" s="17"/>
      <c r="P158" s="19"/>
      <c r="Q158" s="16"/>
      <c r="R158" s="16"/>
      <c r="S158" s="16"/>
      <c r="T158" s="18"/>
      <c r="U158" s="16"/>
      <c r="V158" s="16"/>
      <c r="W158" s="17"/>
      <c r="X158" s="17"/>
      <c r="Y158" s="16"/>
      <c r="Z158" s="18"/>
      <c r="AA158" s="17"/>
      <c r="AB158" s="17"/>
      <c r="AC158" s="17"/>
      <c r="AD158" s="18"/>
      <c r="AE158" s="22"/>
      <c r="AF158" s="23"/>
      <c r="AG158" s="23"/>
      <c r="AH158" s="24" t="s">
        <v>42</v>
      </c>
      <c r="AI158" s="24" t="s">
        <v>42</v>
      </c>
      <c r="AJ158" s="28" t="s">
        <v>42</v>
      </c>
      <c r="AK158" s="24" t="s">
        <v>42</v>
      </c>
    </row>
    <row r="159" ht="22.5" customHeight="1">
      <c r="A159" s="15"/>
      <c r="B159" s="16"/>
      <c r="C159" s="17"/>
      <c r="D159" s="17"/>
      <c r="E159" s="18"/>
      <c r="F159" s="17"/>
      <c r="G159" s="17"/>
      <c r="H159" s="16"/>
      <c r="I159" s="17"/>
      <c r="J159" s="16"/>
      <c r="K159" s="17"/>
      <c r="L159" s="17"/>
      <c r="M159" s="17"/>
      <c r="N159" s="17"/>
      <c r="O159" s="17"/>
      <c r="P159" s="19"/>
      <c r="Q159" s="16"/>
      <c r="R159" s="16"/>
      <c r="S159" s="16"/>
      <c r="T159" s="18"/>
      <c r="U159" s="16"/>
      <c r="V159" s="16"/>
      <c r="W159" s="17"/>
      <c r="X159" s="17"/>
      <c r="Y159" s="16"/>
      <c r="Z159" s="18"/>
      <c r="AA159" s="17"/>
      <c r="AB159" s="17"/>
      <c r="AC159" s="17"/>
      <c r="AD159" s="18"/>
      <c r="AE159" s="22"/>
      <c r="AF159" s="23"/>
      <c r="AG159" s="23"/>
      <c r="AH159" s="24" t="s">
        <v>42</v>
      </c>
      <c r="AI159" s="24" t="s">
        <v>42</v>
      </c>
      <c r="AJ159" s="28" t="s">
        <v>42</v>
      </c>
      <c r="AK159" s="24" t="s">
        <v>42</v>
      </c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3" t="s">
        <v>42</v>
      </c>
      <c r="AI160" s="43" t="s">
        <v>42</v>
      </c>
      <c r="AJ160" s="43" t="s">
        <v>42</v>
      </c>
      <c r="AK160" s="43" t="s">
        <v>42</v>
      </c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3" t="s">
        <v>42</v>
      </c>
      <c r="AI161" s="43" t="s">
        <v>42</v>
      </c>
      <c r="AJ161" s="43" t="s">
        <v>42</v>
      </c>
      <c r="AK161" s="43" t="s">
        <v>42</v>
      </c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3" t="s">
        <v>42</v>
      </c>
      <c r="AI162" s="43" t="s">
        <v>42</v>
      </c>
      <c r="AJ162" s="43" t="s">
        <v>42</v>
      </c>
      <c r="AK162" s="43" t="s">
        <v>42</v>
      </c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3" t="s">
        <v>42</v>
      </c>
      <c r="AI163" s="43" t="s">
        <v>42</v>
      </c>
      <c r="AJ163" s="43" t="s">
        <v>42</v>
      </c>
      <c r="AK163" s="43" t="s">
        <v>42</v>
      </c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3" t="s">
        <v>42</v>
      </c>
      <c r="AI164" s="43" t="s">
        <v>42</v>
      </c>
      <c r="AJ164" s="43" t="s">
        <v>42</v>
      </c>
      <c r="AK164" s="43" t="s">
        <v>42</v>
      </c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3" t="s">
        <v>42</v>
      </c>
      <c r="AI165" s="43" t="s">
        <v>42</v>
      </c>
      <c r="AJ165" s="43" t="s">
        <v>42</v>
      </c>
      <c r="AK165" s="43" t="s">
        <v>42</v>
      </c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3" t="s">
        <v>42</v>
      </c>
      <c r="AI166" s="43" t="s">
        <v>42</v>
      </c>
      <c r="AJ166" s="43" t="s">
        <v>42</v>
      </c>
      <c r="AK166" s="43" t="s">
        <v>42</v>
      </c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3" t="s">
        <v>42</v>
      </c>
      <c r="AI167" s="43" t="s">
        <v>42</v>
      </c>
      <c r="AJ167" s="43" t="s">
        <v>42</v>
      </c>
      <c r="AK167" s="43" t="s">
        <v>42</v>
      </c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3" t="s">
        <v>42</v>
      </c>
      <c r="AI168" s="43" t="s">
        <v>42</v>
      </c>
      <c r="AJ168" s="43" t="s">
        <v>42</v>
      </c>
      <c r="AK168" s="43" t="s">
        <v>42</v>
      </c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3" t="s">
        <v>42</v>
      </c>
      <c r="AI169" s="43" t="s">
        <v>42</v>
      </c>
      <c r="AJ169" s="43" t="s">
        <v>42</v>
      </c>
      <c r="AK169" s="43" t="s">
        <v>42</v>
      </c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3" t="s">
        <v>42</v>
      </c>
      <c r="AI170" s="43" t="s">
        <v>42</v>
      </c>
      <c r="AJ170" s="43" t="s">
        <v>42</v>
      </c>
      <c r="AK170" s="43" t="s">
        <v>42</v>
      </c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3" t="s">
        <v>42</v>
      </c>
      <c r="AI171" s="43" t="s">
        <v>42</v>
      </c>
      <c r="AJ171" s="43" t="s">
        <v>42</v>
      </c>
      <c r="AK171" s="43" t="s">
        <v>42</v>
      </c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3" t="s">
        <v>42</v>
      </c>
      <c r="AI172" s="43" t="s">
        <v>42</v>
      </c>
      <c r="AJ172" s="43" t="s">
        <v>42</v>
      </c>
      <c r="AK172" s="43" t="s">
        <v>42</v>
      </c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3" t="s">
        <v>42</v>
      </c>
      <c r="AI173" s="43" t="s">
        <v>42</v>
      </c>
      <c r="AJ173" s="43" t="s">
        <v>42</v>
      </c>
      <c r="AK173" s="43" t="s">
        <v>42</v>
      </c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3" t="s">
        <v>42</v>
      </c>
      <c r="AI174" s="43" t="s">
        <v>42</v>
      </c>
      <c r="AJ174" s="43" t="s">
        <v>42</v>
      </c>
      <c r="AK174" s="43" t="s">
        <v>42</v>
      </c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3" t="s">
        <v>42</v>
      </c>
      <c r="AI175" s="43" t="s">
        <v>42</v>
      </c>
      <c r="AJ175" s="43" t="s">
        <v>42</v>
      </c>
      <c r="AK175" s="43" t="s">
        <v>42</v>
      </c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3" t="s">
        <v>42</v>
      </c>
      <c r="AI176" s="43" t="s">
        <v>42</v>
      </c>
      <c r="AJ176" s="43" t="s">
        <v>42</v>
      </c>
      <c r="AK176" s="43" t="s">
        <v>42</v>
      </c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3" t="s">
        <v>42</v>
      </c>
      <c r="AI177" s="43" t="s">
        <v>42</v>
      </c>
      <c r="AJ177" s="43" t="s">
        <v>42</v>
      </c>
      <c r="AK177" s="43" t="s">
        <v>42</v>
      </c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3" t="s">
        <v>42</v>
      </c>
      <c r="AI178" s="43" t="s">
        <v>42</v>
      </c>
      <c r="AJ178" s="43" t="s">
        <v>42</v>
      </c>
      <c r="AK178" s="43" t="s">
        <v>42</v>
      </c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3" t="s">
        <v>42</v>
      </c>
      <c r="AI179" s="43" t="s">
        <v>42</v>
      </c>
      <c r="AJ179" s="43" t="s">
        <v>42</v>
      </c>
      <c r="AK179" s="43" t="s">
        <v>42</v>
      </c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3" t="s">
        <v>42</v>
      </c>
      <c r="AI180" s="43" t="s">
        <v>42</v>
      </c>
      <c r="AJ180" s="43" t="s">
        <v>42</v>
      </c>
      <c r="AK180" s="43" t="s">
        <v>42</v>
      </c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3" t="s">
        <v>42</v>
      </c>
      <c r="AI181" s="43" t="s">
        <v>42</v>
      </c>
      <c r="AJ181" s="43" t="s">
        <v>42</v>
      </c>
      <c r="AK181" s="43" t="s">
        <v>42</v>
      </c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3" t="s">
        <v>42</v>
      </c>
      <c r="AI182" s="43" t="s">
        <v>42</v>
      </c>
      <c r="AJ182" s="43" t="s">
        <v>42</v>
      </c>
      <c r="AK182" s="43" t="s">
        <v>42</v>
      </c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3" t="s">
        <v>42</v>
      </c>
      <c r="AI183" s="43" t="s">
        <v>42</v>
      </c>
      <c r="AJ183" s="43" t="s">
        <v>42</v>
      </c>
      <c r="AK183" s="43" t="s">
        <v>42</v>
      </c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3" t="s">
        <v>42</v>
      </c>
      <c r="AI184" s="43" t="s">
        <v>42</v>
      </c>
      <c r="AJ184" s="43" t="s">
        <v>42</v>
      </c>
      <c r="AK184" s="43" t="s">
        <v>42</v>
      </c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3" t="s">
        <v>42</v>
      </c>
      <c r="AI185" s="43" t="s">
        <v>42</v>
      </c>
      <c r="AJ185" s="43" t="s">
        <v>42</v>
      </c>
      <c r="AK185" s="43" t="s">
        <v>42</v>
      </c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3" t="s">
        <v>42</v>
      </c>
      <c r="AI186" s="43" t="s">
        <v>42</v>
      </c>
      <c r="AJ186" s="43" t="s">
        <v>42</v>
      </c>
      <c r="AK186" s="43" t="s">
        <v>42</v>
      </c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3" t="s">
        <v>42</v>
      </c>
      <c r="AI187" s="43" t="s">
        <v>42</v>
      </c>
      <c r="AJ187" s="43" t="s">
        <v>42</v>
      </c>
      <c r="AK187" s="43" t="s">
        <v>42</v>
      </c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3" t="s">
        <v>42</v>
      </c>
      <c r="AI188" s="43" t="s">
        <v>42</v>
      </c>
      <c r="AJ188" s="43" t="s">
        <v>42</v>
      </c>
      <c r="AK188" s="43" t="s">
        <v>42</v>
      </c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3" t="s">
        <v>42</v>
      </c>
      <c r="AI189" s="43" t="s">
        <v>42</v>
      </c>
      <c r="AJ189" s="43" t="s">
        <v>42</v>
      </c>
      <c r="AK189" s="43" t="s">
        <v>42</v>
      </c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3" t="s">
        <v>42</v>
      </c>
      <c r="AI190" s="43" t="s">
        <v>42</v>
      </c>
      <c r="AJ190" s="43" t="s">
        <v>42</v>
      </c>
      <c r="AK190" s="43" t="s">
        <v>42</v>
      </c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3" t="s">
        <v>42</v>
      </c>
      <c r="AI191" s="43" t="s">
        <v>42</v>
      </c>
      <c r="AJ191" s="43" t="s">
        <v>42</v>
      </c>
      <c r="AK191" s="43" t="s">
        <v>42</v>
      </c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3" t="s">
        <v>42</v>
      </c>
      <c r="AI192" s="43" t="s">
        <v>42</v>
      </c>
      <c r="AJ192" s="43" t="s">
        <v>42</v>
      </c>
      <c r="AK192" s="43" t="s">
        <v>42</v>
      </c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3" t="s">
        <v>42</v>
      </c>
      <c r="AI193" s="43" t="s">
        <v>42</v>
      </c>
      <c r="AJ193" s="43" t="s">
        <v>42</v>
      </c>
      <c r="AK193" s="43" t="s">
        <v>42</v>
      </c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3" t="s">
        <v>42</v>
      </c>
      <c r="AI194" s="43" t="s">
        <v>42</v>
      </c>
      <c r="AJ194" s="43" t="s">
        <v>42</v>
      </c>
      <c r="AK194" s="43" t="s">
        <v>42</v>
      </c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3" t="s">
        <v>42</v>
      </c>
      <c r="AI195" s="43" t="s">
        <v>42</v>
      </c>
      <c r="AJ195" s="43" t="s">
        <v>42</v>
      </c>
      <c r="AK195" s="43" t="s">
        <v>42</v>
      </c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3" t="s">
        <v>42</v>
      </c>
      <c r="AI196" s="43" t="s">
        <v>42</v>
      </c>
      <c r="AJ196" s="43" t="s">
        <v>42</v>
      </c>
      <c r="AK196" s="43" t="s">
        <v>42</v>
      </c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3" t="s">
        <v>42</v>
      </c>
      <c r="AI197" s="43" t="s">
        <v>42</v>
      </c>
      <c r="AJ197" s="43" t="s">
        <v>42</v>
      </c>
      <c r="AK197" s="43" t="s">
        <v>42</v>
      </c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3" t="s">
        <v>42</v>
      </c>
      <c r="AI198" s="43" t="s">
        <v>42</v>
      </c>
      <c r="AJ198" s="43" t="s">
        <v>42</v>
      </c>
      <c r="AK198" s="43" t="s">
        <v>42</v>
      </c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3" t="s">
        <v>42</v>
      </c>
      <c r="AI199" s="43" t="s">
        <v>42</v>
      </c>
      <c r="AJ199" s="43" t="s">
        <v>42</v>
      </c>
      <c r="AK199" s="43" t="s">
        <v>42</v>
      </c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3" t="s">
        <v>42</v>
      </c>
      <c r="AI200" s="43" t="s">
        <v>42</v>
      </c>
      <c r="AJ200" s="43" t="s">
        <v>42</v>
      </c>
      <c r="AK200" s="43" t="s">
        <v>42</v>
      </c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3" t="s">
        <v>42</v>
      </c>
      <c r="AI201" s="43" t="s">
        <v>42</v>
      </c>
      <c r="AJ201" s="43" t="s">
        <v>42</v>
      </c>
      <c r="AK201" s="43" t="s">
        <v>42</v>
      </c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3" t="s">
        <v>42</v>
      </c>
      <c r="AI202" s="43" t="s">
        <v>42</v>
      </c>
      <c r="AJ202" s="43" t="s">
        <v>42</v>
      </c>
      <c r="AK202" s="43" t="s">
        <v>42</v>
      </c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3" t="s">
        <v>42</v>
      </c>
      <c r="AI203" s="43" t="s">
        <v>42</v>
      </c>
      <c r="AJ203" s="43" t="s">
        <v>42</v>
      </c>
      <c r="AK203" s="43" t="s">
        <v>42</v>
      </c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3" t="s">
        <v>42</v>
      </c>
      <c r="AI204" s="43" t="s">
        <v>42</v>
      </c>
      <c r="AJ204" s="43" t="s">
        <v>42</v>
      </c>
      <c r="AK204" s="43" t="s">
        <v>42</v>
      </c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3" t="s">
        <v>42</v>
      </c>
      <c r="AI205" s="43" t="s">
        <v>42</v>
      </c>
      <c r="AJ205" s="43" t="s">
        <v>42</v>
      </c>
      <c r="AK205" s="43" t="s">
        <v>42</v>
      </c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3" t="s">
        <v>42</v>
      </c>
      <c r="AI206" s="43" t="s">
        <v>42</v>
      </c>
      <c r="AJ206" s="43" t="s">
        <v>42</v>
      </c>
      <c r="AK206" s="43" t="s">
        <v>42</v>
      </c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3" t="s">
        <v>42</v>
      </c>
      <c r="AI207" s="43" t="s">
        <v>42</v>
      </c>
      <c r="AJ207" s="43" t="s">
        <v>42</v>
      </c>
      <c r="AK207" s="43" t="s">
        <v>42</v>
      </c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3" t="s">
        <v>42</v>
      </c>
      <c r="AI208" s="43" t="s">
        <v>42</v>
      </c>
      <c r="AJ208" s="43" t="s">
        <v>42</v>
      </c>
      <c r="AK208" s="43" t="s">
        <v>42</v>
      </c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3" t="s">
        <v>42</v>
      </c>
      <c r="AI209" s="43" t="s">
        <v>42</v>
      </c>
      <c r="AJ209" s="43" t="s">
        <v>42</v>
      </c>
      <c r="AK209" s="43" t="s">
        <v>42</v>
      </c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3" t="s">
        <v>42</v>
      </c>
      <c r="AI210" s="43" t="s">
        <v>42</v>
      </c>
      <c r="AJ210" s="43" t="s">
        <v>42</v>
      </c>
      <c r="AK210" s="43" t="s">
        <v>42</v>
      </c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3" t="s">
        <v>42</v>
      </c>
      <c r="AI211" s="43" t="s">
        <v>42</v>
      </c>
      <c r="AJ211" s="43" t="s">
        <v>42</v>
      </c>
      <c r="AK211" s="43" t="s">
        <v>42</v>
      </c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3" t="s">
        <v>42</v>
      </c>
      <c r="AI212" s="43" t="s">
        <v>42</v>
      </c>
      <c r="AJ212" s="43" t="s">
        <v>42</v>
      </c>
      <c r="AK212" s="43" t="s">
        <v>42</v>
      </c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3" t="s">
        <v>42</v>
      </c>
      <c r="AI213" s="43" t="s">
        <v>42</v>
      </c>
      <c r="AJ213" s="43" t="s">
        <v>42</v>
      </c>
      <c r="AK213" s="43" t="s">
        <v>42</v>
      </c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3" t="s">
        <v>42</v>
      </c>
      <c r="AI214" s="43" t="s">
        <v>42</v>
      </c>
      <c r="AJ214" s="43" t="s">
        <v>42</v>
      </c>
      <c r="AK214" s="43" t="s">
        <v>42</v>
      </c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3" t="s">
        <v>42</v>
      </c>
      <c r="AI215" s="43" t="s">
        <v>42</v>
      </c>
      <c r="AJ215" s="43" t="s">
        <v>42</v>
      </c>
      <c r="AK215" s="43" t="s">
        <v>42</v>
      </c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3" t="s">
        <v>42</v>
      </c>
      <c r="AI216" s="43" t="s">
        <v>42</v>
      </c>
      <c r="AJ216" s="43" t="s">
        <v>42</v>
      </c>
      <c r="AK216" s="43" t="s">
        <v>42</v>
      </c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3" t="s">
        <v>42</v>
      </c>
      <c r="AI217" s="43" t="s">
        <v>42</v>
      </c>
      <c r="AJ217" s="43" t="s">
        <v>42</v>
      </c>
      <c r="AK217" s="43" t="s">
        <v>42</v>
      </c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3" t="s">
        <v>42</v>
      </c>
      <c r="AI218" s="43" t="s">
        <v>42</v>
      </c>
      <c r="AJ218" s="43" t="s">
        <v>42</v>
      </c>
      <c r="AK218" s="43" t="s">
        <v>42</v>
      </c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3" t="s">
        <v>42</v>
      </c>
      <c r="AI219" s="43" t="s">
        <v>42</v>
      </c>
      <c r="AJ219" s="43" t="s">
        <v>42</v>
      </c>
      <c r="AK219" s="43" t="s">
        <v>42</v>
      </c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3" t="s">
        <v>42</v>
      </c>
      <c r="AI220" s="43" t="s">
        <v>42</v>
      </c>
      <c r="AJ220" s="43" t="s">
        <v>42</v>
      </c>
      <c r="AK220" s="43" t="s">
        <v>42</v>
      </c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3" t="s">
        <v>42</v>
      </c>
      <c r="AI221" s="43" t="s">
        <v>42</v>
      </c>
      <c r="AJ221" s="43" t="s">
        <v>42</v>
      </c>
      <c r="AK221" s="43" t="s">
        <v>42</v>
      </c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3" t="s">
        <v>42</v>
      </c>
      <c r="AI222" s="43" t="s">
        <v>42</v>
      </c>
      <c r="AJ222" s="43" t="s">
        <v>42</v>
      </c>
      <c r="AK222" s="43" t="s">
        <v>42</v>
      </c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3" t="s">
        <v>42</v>
      </c>
      <c r="AI223" s="43" t="s">
        <v>42</v>
      </c>
      <c r="AJ223" s="43" t="s">
        <v>42</v>
      </c>
      <c r="AK223" s="43" t="s">
        <v>42</v>
      </c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3" t="s">
        <v>42</v>
      </c>
      <c r="AI224" s="43" t="s">
        <v>42</v>
      </c>
      <c r="AJ224" s="43" t="s">
        <v>42</v>
      </c>
      <c r="AK224" s="43" t="s">
        <v>42</v>
      </c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3" t="s">
        <v>42</v>
      </c>
      <c r="AI225" s="43" t="s">
        <v>42</v>
      </c>
      <c r="AJ225" s="43" t="s">
        <v>42</v>
      </c>
      <c r="AK225" s="43" t="s">
        <v>42</v>
      </c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3" t="s">
        <v>42</v>
      </c>
      <c r="AI226" s="43" t="s">
        <v>42</v>
      </c>
      <c r="AJ226" s="43" t="s">
        <v>42</v>
      </c>
      <c r="AK226" s="43" t="s">
        <v>42</v>
      </c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3" t="s">
        <v>42</v>
      </c>
      <c r="AI227" s="43" t="s">
        <v>42</v>
      </c>
      <c r="AJ227" s="43" t="s">
        <v>42</v>
      </c>
      <c r="AK227" s="43" t="s">
        <v>42</v>
      </c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3" t="s">
        <v>42</v>
      </c>
      <c r="AI228" s="43" t="s">
        <v>42</v>
      </c>
      <c r="AJ228" s="43" t="s">
        <v>42</v>
      </c>
      <c r="AK228" s="43" t="s">
        <v>42</v>
      </c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3" t="s">
        <v>42</v>
      </c>
      <c r="AI229" s="43" t="s">
        <v>42</v>
      </c>
      <c r="AJ229" s="43" t="s">
        <v>42</v>
      </c>
      <c r="AK229" s="43" t="s">
        <v>42</v>
      </c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3" t="s">
        <v>42</v>
      </c>
      <c r="AI230" s="43" t="s">
        <v>42</v>
      </c>
      <c r="AJ230" s="43" t="s">
        <v>42</v>
      </c>
      <c r="AK230" s="43" t="s">
        <v>42</v>
      </c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3" t="s">
        <v>42</v>
      </c>
      <c r="AI231" s="43" t="s">
        <v>42</v>
      </c>
      <c r="AJ231" s="43" t="s">
        <v>42</v>
      </c>
      <c r="AK231" s="43" t="s">
        <v>42</v>
      </c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3" t="s">
        <v>42</v>
      </c>
      <c r="AI232" s="43" t="s">
        <v>42</v>
      </c>
      <c r="AJ232" s="43" t="s">
        <v>42</v>
      </c>
      <c r="AK232" s="43" t="s">
        <v>42</v>
      </c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3" t="s">
        <v>42</v>
      </c>
      <c r="AI233" s="43" t="s">
        <v>42</v>
      </c>
      <c r="AJ233" s="43" t="s">
        <v>42</v>
      </c>
      <c r="AK233" s="43" t="s">
        <v>42</v>
      </c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3" t="s">
        <v>42</v>
      </c>
      <c r="AI234" s="43" t="s">
        <v>42</v>
      </c>
      <c r="AJ234" s="43" t="s">
        <v>42</v>
      </c>
      <c r="AK234" s="43" t="s">
        <v>42</v>
      </c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3" t="s">
        <v>42</v>
      </c>
      <c r="AI235" s="43" t="s">
        <v>42</v>
      </c>
      <c r="AJ235" s="43" t="s">
        <v>42</v>
      </c>
      <c r="AK235" s="43" t="s">
        <v>42</v>
      </c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3" t="s">
        <v>42</v>
      </c>
      <c r="AI236" s="43" t="s">
        <v>42</v>
      </c>
      <c r="AJ236" s="43" t="s">
        <v>42</v>
      </c>
      <c r="AK236" s="43" t="s">
        <v>42</v>
      </c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3" t="s">
        <v>42</v>
      </c>
      <c r="AI237" s="43" t="s">
        <v>42</v>
      </c>
      <c r="AJ237" s="43" t="s">
        <v>42</v>
      </c>
      <c r="AK237" s="43" t="s">
        <v>42</v>
      </c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3" t="s">
        <v>42</v>
      </c>
      <c r="AI238" s="43" t="s">
        <v>42</v>
      </c>
      <c r="AJ238" s="43" t="s">
        <v>42</v>
      </c>
      <c r="AK238" s="43" t="s">
        <v>42</v>
      </c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3" t="s">
        <v>42</v>
      </c>
      <c r="AI239" s="43" t="s">
        <v>42</v>
      </c>
      <c r="AJ239" s="43" t="s">
        <v>42</v>
      </c>
      <c r="AK239" s="43" t="s">
        <v>42</v>
      </c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3" t="s">
        <v>42</v>
      </c>
      <c r="AI240" s="43" t="s">
        <v>42</v>
      </c>
      <c r="AJ240" s="43" t="s">
        <v>42</v>
      </c>
      <c r="AK240" s="43" t="s">
        <v>42</v>
      </c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3" t="s">
        <v>42</v>
      </c>
      <c r="AI241" s="43" t="s">
        <v>42</v>
      </c>
      <c r="AJ241" s="43" t="s">
        <v>42</v>
      </c>
      <c r="AK241" s="43" t="s">
        <v>42</v>
      </c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3" t="s">
        <v>42</v>
      </c>
      <c r="AI242" s="43" t="s">
        <v>42</v>
      </c>
      <c r="AJ242" s="43" t="s">
        <v>42</v>
      </c>
      <c r="AK242" s="43" t="s">
        <v>42</v>
      </c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3" t="s">
        <v>42</v>
      </c>
      <c r="AI243" s="43" t="s">
        <v>42</v>
      </c>
      <c r="AJ243" s="43" t="s">
        <v>42</v>
      </c>
      <c r="AK243" s="43" t="s">
        <v>42</v>
      </c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3" t="s">
        <v>42</v>
      </c>
      <c r="AI244" s="43" t="s">
        <v>42</v>
      </c>
      <c r="AJ244" s="43" t="s">
        <v>42</v>
      </c>
      <c r="AK244" s="43" t="s">
        <v>42</v>
      </c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3" t="s">
        <v>42</v>
      </c>
      <c r="AI245" s="43" t="s">
        <v>42</v>
      </c>
      <c r="AJ245" s="43" t="s">
        <v>42</v>
      </c>
      <c r="AK245" s="43" t="s">
        <v>42</v>
      </c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3" t="s">
        <v>42</v>
      </c>
      <c r="AI246" s="43" t="s">
        <v>42</v>
      </c>
      <c r="AJ246" s="43" t="s">
        <v>42</v>
      </c>
      <c r="AK246" s="43" t="s">
        <v>42</v>
      </c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3" t="s">
        <v>42</v>
      </c>
      <c r="AI247" s="43" t="s">
        <v>42</v>
      </c>
      <c r="AJ247" s="43" t="s">
        <v>42</v>
      </c>
      <c r="AK247" s="43" t="s">
        <v>42</v>
      </c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3" t="s">
        <v>42</v>
      </c>
      <c r="AI248" s="43" t="s">
        <v>42</v>
      </c>
      <c r="AJ248" s="43" t="s">
        <v>42</v>
      </c>
      <c r="AK248" s="43" t="s">
        <v>42</v>
      </c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3" t="s">
        <v>42</v>
      </c>
      <c r="AI249" s="43" t="s">
        <v>42</v>
      </c>
      <c r="AJ249" s="43" t="s">
        <v>42</v>
      </c>
      <c r="AK249" s="43" t="s">
        <v>42</v>
      </c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3" t="s">
        <v>42</v>
      </c>
      <c r="AI250" s="43" t="s">
        <v>42</v>
      </c>
      <c r="AJ250" s="43" t="s">
        <v>42</v>
      </c>
      <c r="AK250" s="43" t="s">
        <v>42</v>
      </c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3" t="s">
        <v>42</v>
      </c>
      <c r="AI251" s="43" t="s">
        <v>42</v>
      </c>
      <c r="AJ251" s="43" t="s">
        <v>42</v>
      </c>
      <c r="AK251" s="43" t="s">
        <v>42</v>
      </c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3" t="s">
        <v>42</v>
      </c>
      <c r="AI252" s="43" t="s">
        <v>42</v>
      </c>
      <c r="AJ252" s="43" t="s">
        <v>42</v>
      </c>
      <c r="AK252" s="43" t="s">
        <v>42</v>
      </c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3" t="s">
        <v>42</v>
      </c>
      <c r="AI253" s="43" t="s">
        <v>42</v>
      </c>
      <c r="AJ253" s="43" t="s">
        <v>42</v>
      </c>
      <c r="AK253" s="43" t="s">
        <v>42</v>
      </c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3" t="s">
        <v>42</v>
      </c>
      <c r="AI254" s="43" t="s">
        <v>42</v>
      </c>
      <c r="AJ254" s="43" t="s">
        <v>42</v>
      </c>
      <c r="AK254" s="43" t="s">
        <v>42</v>
      </c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3" t="s">
        <v>42</v>
      </c>
      <c r="AI255" s="43" t="s">
        <v>42</v>
      </c>
      <c r="AJ255" s="43" t="s">
        <v>42</v>
      </c>
      <c r="AK255" s="43" t="s">
        <v>42</v>
      </c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3" t="s">
        <v>42</v>
      </c>
      <c r="AI256" s="43" t="s">
        <v>42</v>
      </c>
      <c r="AJ256" s="43" t="s">
        <v>42</v>
      </c>
      <c r="AK256" s="43" t="s">
        <v>42</v>
      </c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3" t="s">
        <v>42</v>
      </c>
      <c r="AI257" s="43" t="s">
        <v>42</v>
      </c>
      <c r="AJ257" s="43" t="s">
        <v>42</v>
      </c>
      <c r="AK257" s="43" t="s">
        <v>42</v>
      </c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3" t="s">
        <v>42</v>
      </c>
      <c r="AI258" s="43" t="s">
        <v>42</v>
      </c>
      <c r="AJ258" s="43" t="s">
        <v>42</v>
      </c>
      <c r="AK258" s="43" t="s">
        <v>42</v>
      </c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3" t="s">
        <v>42</v>
      </c>
      <c r="AI259" s="43" t="s">
        <v>42</v>
      </c>
      <c r="AJ259" s="43" t="s">
        <v>42</v>
      </c>
      <c r="AK259" s="43" t="s">
        <v>42</v>
      </c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3" t="s">
        <v>42</v>
      </c>
      <c r="AI260" s="43" t="s">
        <v>42</v>
      </c>
      <c r="AJ260" s="43" t="s">
        <v>42</v>
      </c>
      <c r="AK260" s="43" t="s">
        <v>42</v>
      </c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3" t="s">
        <v>42</v>
      </c>
      <c r="AI261" s="43" t="s">
        <v>42</v>
      </c>
      <c r="AJ261" s="43" t="s">
        <v>42</v>
      </c>
      <c r="AK261" s="43" t="s">
        <v>42</v>
      </c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3" t="s">
        <v>42</v>
      </c>
      <c r="AI262" s="43" t="s">
        <v>42</v>
      </c>
      <c r="AJ262" s="43" t="s">
        <v>42</v>
      </c>
      <c r="AK262" s="43" t="s">
        <v>42</v>
      </c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3" t="s">
        <v>42</v>
      </c>
      <c r="AI263" s="43" t="s">
        <v>42</v>
      </c>
      <c r="AJ263" s="43" t="s">
        <v>42</v>
      </c>
      <c r="AK263" s="43" t="s">
        <v>42</v>
      </c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3" t="s">
        <v>42</v>
      </c>
      <c r="AI264" s="43" t="s">
        <v>42</v>
      </c>
      <c r="AJ264" s="43" t="s">
        <v>42</v>
      </c>
      <c r="AK264" s="43" t="s">
        <v>42</v>
      </c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3" t="s">
        <v>42</v>
      </c>
      <c r="AI265" s="43" t="s">
        <v>42</v>
      </c>
      <c r="AJ265" s="43" t="s">
        <v>42</v>
      </c>
      <c r="AK265" s="43" t="s">
        <v>42</v>
      </c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3" t="s">
        <v>42</v>
      </c>
      <c r="AI266" s="43" t="s">
        <v>42</v>
      </c>
      <c r="AJ266" s="43" t="s">
        <v>42</v>
      </c>
      <c r="AK266" s="43" t="s">
        <v>42</v>
      </c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3" t="s">
        <v>42</v>
      </c>
      <c r="AI267" s="43" t="s">
        <v>42</v>
      </c>
      <c r="AJ267" s="43" t="s">
        <v>42</v>
      </c>
      <c r="AK267" s="43" t="s">
        <v>42</v>
      </c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3" t="s">
        <v>42</v>
      </c>
      <c r="AI268" s="43" t="s">
        <v>42</v>
      </c>
      <c r="AJ268" s="43" t="s">
        <v>42</v>
      </c>
      <c r="AK268" s="43" t="s">
        <v>42</v>
      </c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3" t="s">
        <v>42</v>
      </c>
      <c r="AI269" s="43" t="s">
        <v>42</v>
      </c>
      <c r="AJ269" s="43" t="s">
        <v>42</v>
      </c>
      <c r="AK269" s="43" t="s">
        <v>42</v>
      </c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3" t="s">
        <v>42</v>
      </c>
      <c r="AI270" s="43" t="s">
        <v>42</v>
      </c>
      <c r="AJ270" s="43" t="s">
        <v>42</v>
      </c>
      <c r="AK270" s="43" t="s">
        <v>42</v>
      </c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3" t="s">
        <v>42</v>
      </c>
      <c r="AI271" s="43" t="s">
        <v>42</v>
      </c>
      <c r="AJ271" s="43" t="s">
        <v>42</v>
      </c>
      <c r="AK271" s="43" t="s">
        <v>42</v>
      </c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3" t="s">
        <v>42</v>
      </c>
      <c r="AI272" s="43" t="s">
        <v>42</v>
      </c>
      <c r="AJ272" s="43" t="s">
        <v>42</v>
      </c>
      <c r="AK272" s="43" t="s">
        <v>42</v>
      </c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3" t="s">
        <v>42</v>
      </c>
      <c r="AI273" s="43" t="s">
        <v>42</v>
      </c>
      <c r="AJ273" s="43" t="s">
        <v>42</v>
      </c>
      <c r="AK273" s="43" t="s">
        <v>42</v>
      </c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3" t="s">
        <v>42</v>
      </c>
      <c r="AI274" s="43" t="s">
        <v>42</v>
      </c>
      <c r="AJ274" s="43" t="s">
        <v>42</v>
      </c>
      <c r="AK274" s="43" t="s">
        <v>42</v>
      </c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3" t="s">
        <v>42</v>
      </c>
      <c r="AI275" s="43" t="s">
        <v>42</v>
      </c>
      <c r="AJ275" s="43" t="s">
        <v>42</v>
      </c>
      <c r="AK275" s="43" t="s">
        <v>42</v>
      </c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3" t="s">
        <v>42</v>
      </c>
      <c r="AI276" s="43" t="s">
        <v>42</v>
      </c>
      <c r="AJ276" s="43" t="s">
        <v>42</v>
      </c>
      <c r="AK276" s="43" t="s">
        <v>42</v>
      </c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3" t="s">
        <v>42</v>
      </c>
      <c r="AI277" s="43" t="s">
        <v>42</v>
      </c>
      <c r="AJ277" s="43" t="s">
        <v>42</v>
      </c>
      <c r="AK277" s="43" t="s">
        <v>42</v>
      </c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3" t="s">
        <v>42</v>
      </c>
      <c r="AI278" s="43" t="s">
        <v>42</v>
      </c>
      <c r="AJ278" s="43" t="s">
        <v>42</v>
      </c>
      <c r="AK278" s="43" t="s">
        <v>42</v>
      </c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3" t="s">
        <v>42</v>
      </c>
      <c r="AI279" s="43" t="s">
        <v>42</v>
      </c>
      <c r="AJ279" s="43" t="s">
        <v>42</v>
      </c>
      <c r="AK279" s="43" t="s">
        <v>42</v>
      </c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3" t="s">
        <v>42</v>
      </c>
      <c r="AI280" s="43" t="s">
        <v>42</v>
      </c>
      <c r="AJ280" s="43" t="s">
        <v>42</v>
      </c>
      <c r="AK280" s="43" t="s">
        <v>42</v>
      </c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3" t="s">
        <v>42</v>
      </c>
      <c r="AI281" s="43" t="s">
        <v>42</v>
      </c>
      <c r="AJ281" s="43" t="s">
        <v>42</v>
      </c>
      <c r="AK281" s="43" t="s">
        <v>42</v>
      </c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3" t="s">
        <v>42</v>
      </c>
      <c r="AI282" s="43" t="s">
        <v>42</v>
      </c>
      <c r="AJ282" s="43" t="s">
        <v>42</v>
      </c>
      <c r="AK282" s="43" t="s">
        <v>42</v>
      </c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3" t="s">
        <v>42</v>
      </c>
      <c r="AI283" s="43" t="s">
        <v>42</v>
      </c>
      <c r="AJ283" s="43" t="s">
        <v>42</v>
      </c>
      <c r="AK283" s="43" t="s">
        <v>42</v>
      </c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3" t="s">
        <v>42</v>
      </c>
      <c r="AI284" s="43" t="s">
        <v>42</v>
      </c>
      <c r="AJ284" s="43" t="s">
        <v>42</v>
      </c>
      <c r="AK284" s="43" t="s">
        <v>42</v>
      </c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3" t="s">
        <v>42</v>
      </c>
      <c r="AI285" s="43" t="s">
        <v>42</v>
      </c>
      <c r="AJ285" s="43" t="s">
        <v>42</v>
      </c>
      <c r="AK285" s="43" t="s">
        <v>42</v>
      </c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3" t="s">
        <v>42</v>
      </c>
      <c r="AI286" s="43" t="s">
        <v>42</v>
      </c>
      <c r="AJ286" s="43" t="s">
        <v>42</v>
      </c>
      <c r="AK286" s="43" t="s">
        <v>42</v>
      </c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3" t="s">
        <v>42</v>
      </c>
      <c r="AI287" s="43" t="s">
        <v>42</v>
      </c>
      <c r="AJ287" s="43" t="s">
        <v>42</v>
      </c>
      <c r="AK287" s="43" t="s">
        <v>42</v>
      </c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3" t="s">
        <v>42</v>
      </c>
      <c r="AI288" s="43" t="s">
        <v>42</v>
      </c>
      <c r="AJ288" s="43" t="s">
        <v>42</v>
      </c>
      <c r="AK288" s="43" t="s">
        <v>42</v>
      </c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3" t="s">
        <v>42</v>
      </c>
      <c r="AI289" s="43" t="s">
        <v>42</v>
      </c>
      <c r="AJ289" s="43" t="s">
        <v>42</v>
      </c>
      <c r="AK289" s="43" t="s">
        <v>42</v>
      </c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3" t="s">
        <v>42</v>
      </c>
      <c r="AI290" s="43" t="s">
        <v>42</v>
      </c>
      <c r="AJ290" s="43" t="s">
        <v>42</v>
      </c>
      <c r="AK290" s="43" t="s">
        <v>42</v>
      </c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3" t="s">
        <v>42</v>
      </c>
      <c r="AI291" s="43" t="s">
        <v>42</v>
      </c>
      <c r="AJ291" s="43" t="s">
        <v>42</v>
      </c>
      <c r="AK291" s="43" t="s">
        <v>42</v>
      </c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3" t="s">
        <v>42</v>
      </c>
      <c r="AI292" s="43" t="s">
        <v>42</v>
      </c>
      <c r="AJ292" s="43" t="s">
        <v>42</v>
      </c>
      <c r="AK292" s="43" t="s">
        <v>42</v>
      </c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3" t="s">
        <v>42</v>
      </c>
      <c r="AI293" s="43" t="s">
        <v>42</v>
      </c>
      <c r="AJ293" s="43" t="s">
        <v>42</v>
      </c>
      <c r="AK293" s="43" t="s">
        <v>42</v>
      </c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3" t="s">
        <v>42</v>
      </c>
      <c r="AI294" s="43" t="s">
        <v>42</v>
      </c>
      <c r="AJ294" s="43" t="s">
        <v>42</v>
      </c>
      <c r="AK294" s="43" t="s">
        <v>42</v>
      </c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3" t="s">
        <v>42</v>
      </c>
      <c r="AI295" s="43" t="s">
        <v>42</v>
      </c>
      <c r="AJ295" s="43" t="s">
        <v>42</v>
      </c>
      <c r="AK295" s="43" t="s">
        <v>42</v>
      </c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3" t="s">
        <v>42</v>
      </c>
      <c r="AI296" s="43" t="s">
        <v>42</v>
      </c>
      <c r="AJ296" s="43" t="s">
        <v>42</v>
      </c>
      <c r="AK296" s="43" t="s">
        <v>42</v>
      </c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3" t="s">
        <v>42</v>
      </c>
      <c r="AI297" s="43" t="s">
        <v>42</v>
      </c>
      <c r="AJ297" s="43" t="s">
        <v>42</v>
      </c>
      <c r="AK297" s="43" t="s">
        <v>42</v>
      </c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3" t="s">
        <v>42</v>
      </c>
      <c r="AI298" s="43" t="s">
        <v>42</v>
      </c>
      <c r="AJ298" s="43" t="s">
        <v>42</v>
      </c>
      <c r="AK298" s="43" t="s">
        <v>42</v>
      </c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3" t="s">
        <v>42</v>
      </c>
      <c r="AI299" s="43" t="s">
        <v>42</v>
      </c>
      <c r="AJ299" s="43" t="s">
        <v>42</v>
      </c>
      <c r="AK299" s="43" t="s">
        <v>42</v>
      </c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3" t="s">
        <v>42</v>
      </c>
      <c r="AI300" s="43" t="s">
        <v>42</v>
      </c>
      <c r="AJ300" s="43" t="s">
        <v>42</v>
      </c>
      <c r="AK300" s="43" t="s">
        <v>42</v>
      </c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3" t="s">
        <v>42</v>
      </c>
      <c r="AI301" s="43" t="s">
        <v>42</v>
      </c>
      <c r="AJ301" s="43" t="s">
        <v>42</v>
      </c>
      <c r="AK301" s="43" t="s">
        <v>42</v>
      </c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3" t="s">
        <v>42</v>
      </c>
      <c r="AI302" s="43" t="s">
        <v>42</v>
      </c>
      <c r="AJ302" s="43" t="s">
        <v>42</v>
      </c>
      <c r="AK302" s="43" t="s">
        <v>42</v>
      </c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3" t="s">
        <v>42</v>
      </c>
      <c r="AI303" s="43" t="s">
        <v>42</v>
      </c>
      <c r="AJ303" s="43" t="s">
        <v>42</v>
      </c>
      <c r="AK303" s="43" t="s">
        <v>42</v>
      </c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3" t="s">
        <v>42</v>
      </c>
      <c r="AI304" s="43" t="s">
        <v>42</v>
      </c>
      <c r="AJ304" s="43" t="s">
        <v>42</v>
      </c>
      <c r="AK304" s="43" t="s">
        <v>42</v>
      </c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3" t="s">
        <v>42</v>
      </c>
      <c r="AI305" s="43" t="s">
        <v>42</v>
      </c>
      <c r="AJ305" s="43" t="s">
        <v>42</v>
      </c>
      <c r="AK305" s="43" t="s">
        <v>42</v>
      </c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3" t="s">
        <v>42</v>
      </c>
      <c r="AI306" s="43" t="s">
        <v>42</v>
      </c>
      <c r="AJ306" s="43" t="s">
        <v>42</v>
      </c>
      <c r="AK306" s="43" t="s">
        <v>42</v>
      </c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3" t="s">
        <v>42</v>
      </c>
      <c r="AI307" s="43" t="s">
        <v>42</v>
      </c>
      <c r="AJ307" s="43" t="s">
        <v>42</v>
      </c>
      <c r="AK307" s="43" t="s">
        <v>42</v>
      </c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3" t="s">
        <v>42</v>
      </c>
      <c r="AI308" s="43" t="s">
        <v>42</v>
      </c>
      <c r="AJ308" s="43" t="s">
        <v>42</v>
      </c>
      <c r="AK308" s="43" t="s">
        <v>42</v>
      </c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3" t="s">
        <v>42</v>
      </c>
      <c r="AI309" s="43" t="s">
        <v>42</v>
      </c>
      <c r="AJ309" s="43" t="s">
        <v>42</v>
      </c>
      <c r="AK309" s="43" t="s">
        <v>42</v>
      </c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3" t="s">
        <v>42</v>
      </c>
      <c r="AI310" s="43" t="s">
        <v>42</v>
      </c>
      <c r="AJ310" s="43" t="s">
        <v>42</v>
      </c>
      <c r="AK310" s="43" t="s">
        <v>42</v>
      </c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3" t="s">
        <v>42</v>
      </c>
      <c r="AI311" s="43" t="s">
        <v>42</v>
      </c>
      <c r="AJ311" s="43" t="s">
        <v>42</v>
      </c>
      <c r="AK311" s="43" t="s">
        <v>42</v>
      </c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3" t="s">
        <v>42</v>
      </c>
      <c r="AI312" s="43" t="s">
        <v>42</v>
      </c>
      <c r="AJ312" s="43" t="s">
        <v>42</v>
      </c>
      <c r="AK312" s="43" t="s">
        <v>42</v>
      </c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3" t="s">
        <v>42</v>
      </c>
      <c r="AI313" s="43" t="s">
        <v>42</v>
      </c>
      <c r="AJ313" s="43" t="s">
        <v>42</v>
      </c>
      <c r="AK313" s="43" t="s">
        <v>42</v>
      </c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3" t="s">
        <v>42</v>
      </c>
      <c r="AI314" s="43" t="s">
        <v>42</v>
      </c>
      <c r="AJ314" s="43" t="s">
        <v>42</v>
      </c>
      <c r="AK314" s="43" t="s">
        <v>42</v>
      </c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3" t="s">
        <v>42</v>
      </c>
      <c r="AI315" s="43" t="s">
        <v>42</v>
      </c>
      <c r="AJ315" s="43" t="s">
        <v>42</v>
      </c>
      <c r="AK315" s="43" t="s">
        <v>42</v>
      </c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3" t="s">
        <v>42</v>
      </c>
      <c r="AI316" s="43" t="s">
        <v>42</v>
      </c>
      <c r="AJ316" s="43" t="s">
        <v>42</v>
      </c>
      <c r="AK316" s="43" t="s">
        <v>42</v>
      </c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3" t="s">
        <v>42</v>
      </c>
      <c r="AI317" s="43" t="s">
        <v>42</v>
      </c>
      <c r="AJ317" s="43" t="s">
        <v>42</v>
      </c>
      <c r="AK317" s="43" t="s">
        <v>42</v>
      </c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3" t="s">
        <v>42</v>
      </c>
      <c r="AI318" s="43" t="s">
        <v>42</v>
      </c>
      <c r="AJ318" s="43" t="s">
        <v>42</v>
      </c>
      <c r="AK318" s="43" t="s">
        <v>42</v>
      </c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3" t="s">
        <v>42</v>
      </c>
      <c r="AI319" s="43" t="s">
        <v>42</v>
      </c>
      <c r="AJ319" s="43" t="s">
        <v>42</v>
      </c>
      <c r="AK319" s="43" t="s">
        <v>42</v>
      </c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3" t="s">
        <v>42</v>
      </c>
      <c r="AI320" s="43" t="s">
        <v>42</v>
      </c>
      <c r="AJ320" s="43" t="s">
        <v>42</v>
      </c>
      <c r="AK320" s="43" t="s">
        <v>42</v>
      </c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3" t="s">
        <v>42</v>
      </c>
      <c r="AI321" s="43" t="s">
        <v>42</v>
      </c>
      <c r="AJ321" s="43" t="s">
        <v>42</v>
      </c>
      <c r="AK321" s="43" t="s">
        <v>42</v>
      </c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3" t="s">
        <v>42</v>
      </c>
      <c r="AI322" s="43" t="s">
        <v>42</v>
      </c>
      <c r="AJ322" s="43" t="s">
        <v>42</v>
      </c>
      <c r="AK322" s="43" t="s">
        <v>42</v>
      </c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3" t="s">
        <v>42</v>
      </c>
      <c r="AI323" s="43" t="s">
        <v>42</v>
      </c>
      <c r="AJ323" s="43" t="s">
        <v>42</v>
      </c>
      <c r="AK323" s="43" t="s">
        <v>42</v>
      </c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3" t="s">
        <v>42</v>
      </c>
      <c r="AI324" s="43" t="s">
        <v>42</v>
      </c>
      <c r="AJ324" s="43" t="s">
        <v>42</v>
      </c>
      <c r="AK324" s="43" t="s">
        <v>42</v>
      </c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3" t="s">
        <v>42</v>
      </c>
      <c r="AI325" s="43" t="s">
        <v>42</v>
      </c>
      <c r="AJ325" s="43" t="s">
        <v>42</v>
      </c>
      <c r="AK325" s="43" t="s">
        <v>42</v>
      </c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3" t="s">
        <v>42</v>
      </c>
      <c r="AI326" s="43" t="s">
        <v>42</v>
      </c>
      <c r="AJ326" s="43" t="s">
        <v>42</v>
      </c>
      <c r="AK326" s="43" t="s">
        <v>42</v>
      </c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3" t="s">
        <v>42</v>
      </c>
      <c r="AI327" s="43" t="s">
        <v>42</v>
      </c>
      <c r="AJ327" s="43" t="s">
        <v>42</v>
      </c>
      <c r="AK327" s="43" t="s">
        <v>42</v>
      </c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3" t="s">
        <v>42</v>
      </c>
      <c r="AI328" s="43" t="s">
        <v>42</v>
      </c>
      <c r="AJ328" s="43" t="s">
        <v>42</v>
      </c>
      <c r="AK328" s="43" t="s">
        <v>42</v>
      </c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3" t="s">
        <v>42</v>
      </c>
      <c r="AI329" s="43" t="s">
        <v>42</v>
      </c>
      <c r="AJ329" s="43" t="s">
        <v>42</v>
      </c>
      <c r="AK329" s="43" t="s">
        <v>42</v>
      </c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3" t="s">
        <v>42</v>
      </c>
      <c r="AI330" s="43" t="s">
        <v>42</v>
      </c>
      <c r="AJ330" s="43" t="s">
        <v>42</v>
      </c>
      <c r="AK330" s="43" t="s">
        <v>42</v>
      </c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3" t="s">
        <v>42</v>
      </c>
      <c r="AI331" s="43" t="s">
        <v>42</v>
      </c>
      <c r="AJ331" s="43" t="s">
        <v>42</v>
      </c>
      <c r="AK331" s="43" t="s">
        <v>42</v>
      </c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3" t="s">
        <v>42</v>
      </c>
      <c r="AI332" s="43" t="s">
        <v>42</v>
      </c>
      <c r="AJ332" s="43" t="s">
        <v>42</v>
      </c>
      <c r="AK332" s="43" t="s">
        <v>42</v>
      </c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3" t="s">
        <v>42</v>
      </c>
      <c r="AI333" s="43" t="s">
        <v>42</v>
      </c>
      <c r="AJ333" s="43" t="s">
        <v>42</v>
      </c>
      <c r="AK333" s="43" t="s">
        <v>42</v>
      </c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3" t="s">
        <v>42</v>
      </c>
      <c r="AI334" s="43" t="s">
        <v>42</v>
      </c>
      <c r="AJ334" s="43" t="s">
        <v>42</v>
      </c>
      <c r="AK334" s="43" t="s">
        <v>42</v>
      </c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3" t="s">
        <v>42</v>
      </c>
      <c r="AI335" s="43" t="s">
        <v>42</v>
      </c>
      <c r="AJ335" s="43" t="s">
        <v>42</v>
      </c>
      <c r="AK335" s="43" t="s">
        <v>42</v>
      </c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3" t="s">
        <v>42</v>
      </c>
      <c r="AI336" s="43" t="s">
        <v>42</v>
      </c>
      <c r="AJ336" s="43" t="s">
        <v>42</v>
      </c>
      <c r="AK336" s="43" t="s">
        <v>42</v>
      </c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3" t="s">
        <v>42</v>
      </c>
      <c r="AI337" s="43" t="s">
        <v>42</v>
      </c>
      <c r="AJ337" s="43" t="s">
        <v>42</v>
      </c>
      <c r="AK337" s="43" t="s">
        <v>42</v>
      </c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3" t="s">
        <v>42</v>
      </c>
      <c r="AI338" s="43" t="s">
        <v>42</v>
      </c>
      <c r="AJ338" s="43" t="s">
        <v>42</v>
      </c>
      <c r="AK338" s="43" t="s">
        <v>42</v>
      </c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3" t="s">
        <v>42</v>
      </c>
      <c r="AI339" s="43" t="s">
        <v>42</v>
      </c>
      <c r="AJ339" s="43" t="s">
        <v>42</v>
      </c>
      <c r="AK339" s="43" t="s">
        <v>42</v>
      </c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3" t="s">
        <v>42</v>
      </c>
      <c r="AI340" s="43" t="s">
        <v>42</v>
      </c>
      <c r="AJ340" s="43" t="s">
        <v>42</v>
      </c>
      <c r="AK340" s="43" t="s">
        <v>42</v>
      </c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3" t="s">
        <v>42</v>
      </c>
      <c r="AI341" s="43" t="s">
        <v>42</v>
      </c>
      <c r="AJ341" s="43" t="s">
        <v>42</v>
      </c>
      <c r="AK341" s="43" t="s">
        <v>42</v>
      </c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3" t="s">
        <v>42</v>
      </c>
      <c r="AI342" s="43" t="s">
        <v>42</v>
      </c>
      <c r="AJ342" s="43" t="s">
        <v>42</v>
      </c>
      <c r="AK342" s="43" t="s">
        <v>42</v>
      </c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3" t="s">
        <v>42</v>
      </c>
      <c r="AI343" s="43" t="s">
        <v>42</v>
      </c>
      <c r="AJ343" s="43" t="s">
        <v>42</v>
      </c>
      <c r="AK343" s="43" t="s">
        <v>42</v>
      </c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3" t="s">
        <v>42</v>
      </c>
      <c r="AI344" s="43" t="s">
        <v>42</v>
      </c>
      <c r="AJ344" s="43" t="s">
        <v>42</v>
      </c>
      <c r="AK344" s="43" t="s">
        <v>42</v>
      </c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3" t="s">
        <v>42</v>
      </c>
      <c r="AI345" s="43" t="s">
        <v>42</v>
      </c>
      <c r="AJ345" s="43" t="s">
        <v>42</v>
      </c>
      <c r="AK345" s="43" t="s">
        <v>42</v>
      </c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3" t="s">
        <v>42</v>
      </c>
      <c r="AI346" s="43" t="s">
        <v>42</v>
      </c>
      <c r="AJ346" s="43" t="s">
        <v>42</v>
      </c>
      <c r="AK346" s="43" t="s">
        <v>42</v>
      </c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3" t="s">
        <v>42</v>
      </c>
      <c r="AI347" s="43" t="s">
        <v>42</v>
      </c>
      <c r="AJ347" s="43" t="s">
        <v>42</v>
      </c>
      <c r="AK347" s="43" t="s">
        <v>42</v>
      </c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3" t="s">
        <v>42</v>
      </c>
      <c r="AI348" s="43" t="s">
        <v>42</v>
      </c>
      <c r="AJ348" s="43" t="s">
        <v>42</v>
      </c>
      <c r="AK348" s="43" t="s">
        <v>42</v>
      </c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3" t="s">
        <v>42</v>
      </c>
      <c r="AI349" s="43" t="s">
        <v>42</v>
      </c>
      <c r="AJ349" s="43" t="s">
        <v>42</v>
      </c>
      <c r="AK349" s="43" t="s">
        <v>42</v>
      </c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3" t="s">
        <v>42</v>
      </c>
      <c r="AI350" s="43" t="s">
        <v>42</v>
      </c>
      <c r="AJ350" s="43" t="s">
        <v>42</v>
      </c>
      <c r="AK350" s="43" t="s">
        <v>42</v>
      </c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3" t="s">
        <v>42</v>
      </c>
      <c r="AI351" s="43" t="s">
        <v>42</v>
      </c>
      <c r="AJ351" s="43" t="s">
        <v>42</v>
      </c>
      <c r="AK351" s="43" t="s">
        <v>42</v>
      </c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3" t="s">
        <v>42</v>
      </c>
      <c r="AI352" s="43" t="s">
        <v>42</v>
      </c>
      <c r="AJ352" s="43" t="s">
        <v>42</v>
      </c>
      <c r="AK352" s="43" t="s">
        <v>42</v>
      </c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3" t="s">
        <v>42</v>
      </c>
      <c r="AI353" s="43" t="s">
        <v>42</v>
      </c>
      <c r="AJ353" s="43" t="s">
        <v>42</v>
      </c>
      <c r="AK353" s="43" t="s">
        <v>42</v>
      </c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3" t="s">
        <v>42</v>
      </c>
      <c r="AI354" s="43" t="s">
        <v>42</v>
      </c>
      <c r="AJ354" s="43" t="s">
        <v>42</v>
      </c>
      <c r="AK354" s="43" t="s">
        <v>42</v>
      </c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3" t="s">
        <v>42</v>
      </c>
      <c r="AI355" s="43" t="s">
        <v>42</v>
      </c>
      <c r="AJ355" s="43" t="s">
        <v>42</v>
      </c>
      <c r="AK355" s="43" t="s">
        <v>42</v>
      </c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3" t="s">
        <v>42</v>
      </c>
      <c r="AI356" s="43" t="s">
        <v>42</v>
      </c>
      <c r="AJ356" s="43" t="s">
        <v>42</v>
      </c>
      <c r="AK356" s="43" t="s">
        <v>42</v>
      </c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3" t="s">
        <v>42</v>
      </c>
      <c r="AI357" s="43" t="s">
        <v>42</v>
      </c>
      <c r="AJ357" s="43" t="s">
        <v>42</v>
      </c>
      <c r="AK357" s="43" t="s">
        <v>42</v>
      </c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3" t="s">
        <v>42</v>
      </c>
      <c r="AI358" s="43" t="s">
        <v>42</v>
      </c>
      <c r="AJ358" s="43" t="s">
        <v>42</v>
      </c>
      <c r="AK358" s="43" t="s">
        <v>42</v>
      </c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3" t="s">
        <v>42</v>
      </c>
      <c r="AI359" s="43" t="s">
        <v>42</v>
      </c>
      <c r="AJ359" s="43" t="s">
        <v>42</v>
      </c>
      <c r="AK359" s="43" t="s">
        <v>42</v>
      </c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3" t="s">
        <v>42</v>
      </c>
      <c r="AI360" s="43" t="s">
        <v>42</v>
      </c>
      <c r="AJ360" s="43" t="s">
        <v>42</v>
      </c>
      <c r="AK360" s="43" t="s">
        <v>42</v>
      </c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3" t="s">
        <v>42</v>
      </c>
      <c r="AI361" s="43" t="s">
        <v>42</v>
      </c>
      <c r="AJ361" s="43" t="s">
        <v>42</v>
      </c>
      <c r="AK361" s="43" t="s">
        <v>42</v>
      </c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3" t="s">
        <v>42</v>
      </c>
      <c r="AI362" s="43" t="s">
        <v>42</v>
      </c>
      <c r="AJ362" s="43" t="s">
        <v>42</v>
      </c>
      <c r="AK362" s="43" t="s">
        <v>42</v>
      </c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3" t="s">
        <v>42</v>
      </c>
      <c r="AI363" s="43" t="s">
        <v>42</v>
      </c>
      <c r="AJ363" s="43" t="s">
        <v>42</v>
      </c>
      <c r="AK363" s="43" t="s">
        <v>42</v>
      </c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3" t="s">
        <v>42</v>
      </c>
      <c r="AI364" s="43" t="s">
        <v>42</v>
      </c>
      <c r="AJ364" s="43" t="s">
        <v>42</v>
      </c>
      <c r="AK364" s="43" t="s">
        <v>42</v>
      </c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3" t="s">
        <v>42</v>
      </c>
      <c r="AI365" s="43" t="s">
        <v>42</v>
      </c>
      <c r="AJ365" s="43" t="s">
        <v>42</v>
      </c>
      <c r="AK365" s="43" t="s">
        <v>42</v>
      </c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3" t="s">
        <v>42</v>
      </c>
      <c r="AI366" s="43" t="s">
        <v>42</v>
      </c>
      <c r="AJ366" s="43" t="s">
        <v>42</v>
      </c>
      <c r="AK366" s="43" t="s">
        <v>42</v>
      </c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3" t="s">
        <v>42</v>
      </c>
      <c r="AI367" s="43" t="s">
        <v>42</v>
      </c>
      <c r="AJ367" s="43" t="s">
        <v>42</v>
      </c>
      <c r="AK367" s="43" t="s">
        <v>42</v>
      </c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3" t="s">
        <v>42</v>
      </c>
      <c r="AI368" s="43" t="s">
        <v>42</v>
      </c>
      <c r="AJ368" s="43" t="s">
        <v>42</v>
      </c>
      <c r="AK368" s="43" t="s">
        <v>42</v>
      </c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3" t="s">
        <v>42</v>
      </c>
      <c r="AI369" s="43" t="s">
        <v>42</v>
      </c>
      <c r="AJ369" s="43" t="s">
        <v>42</v>
      </c>
      <c r="AK369" s="43" t="s">
        <v>42</v>
      </c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3" t="s">
        <v>42</v>
      </c>
      <c r="AI370" s="43" t="s">
        <v>42</v>
      </c>
      <c r="AJ370" s="43" t="s">
        <v>42</v>
      </c>
      <c r="AK370" s="43" t="s">
        <v>42</v>
      </c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3" t="s">
        <v>42</v>
      </c>
      <c r="AI371" s="43" t="s">
        <v>42</v>
      </c>
      <c r="AJ371" s="43" t="s">
        <v>42</v>
      </c>
      <c r="AK371" s="43" t="s">
        <v>42</v>
      </c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3" t="s">
        <v>42</v>
      </c>
      <c r="AI372" s="43" t="s">
        <v>42</v>
      </c>
      <c r="AJ372" s="43" t="s">
        <v>42</v>
      </c>
      <c r="AK372" s="43" t="s">
        <v>42</v>
      </c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3" t="s">
        <v>42</v>
      </c>
      <c r="AI373" s="43" t="s">
        <v>42</v>
      </c>
      <c r="AJ373" s="43" t="s">
        <v>42</v>
      </c>
      <c r="AK373" s="43" t="s">
        <v>42</v>
      </c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3" t="s">
        <v>42</v>
      </c>
      <c r="AI374" s="43" t="s">
        <v>42</v>
      </c>
      <c r="AJ374" s="43" t="s">
        <v>42</v>
      </c>
      <c r="AK374" s="43" t="s">
        <v>42</v>
      </c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3" t="s">
        <v>42</v>
      </c>
      <c r="AI375" s="43" t="s">
        <v>42</v>
      </c>
      <c r="AJ375" s="43" t="s">
        <v>42</v>
      </c>
      <c r="AK375" s="43" t="s">
        <v>42</v>
      </c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3" t="s">
        <v>42</v>
      </c>
      <c r="AI376" s="43" t="s">
        <v>42</v>
      </c>
      <c r="AJ376" s="43" t="s">
        <v>42</v>
      </c>
      <c r="AK376" s="43" t="s">
        <v>42</v>
      </c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3" t="s">
        <v>42</v>
      </c>
      <c r="AI377" s="43" t="s">
        <v>42</v>
      </c>
      <c r="AJ377" s="43" t="s">
        <v>42</v>
      </c>
      <c r="AK377" s="43" t="s">
        <v>42</v>
      </c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3" t="s">
        <v>42</v>
      </c>
      <c r="AI378" s="43" t="s">
        <v>42</v>
      </c>
      <c r="AJ378" s="43" t="s">
        <v>42</v>
      </c>
      <c r="AK378" s="43" t="s">
        <v>42</v>
      </c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3" t="s">
        <v>42</v>
      </c>
      <c r="AI379" s="43" t="s">
        <v>42</v>
      </c>
      <c r="AJ379" s="43" t="s">
        <v>42</v>
      </c>
      <c r="AK379" s="43" t="s">
        <v>42</v>
      </c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3" t="s">
        <v>42</v>
      </c>
      <c r="AI380" s="43" t="s">
        <v>42</v>
      </c>
      <c r="AJ380" s="43" t="s">
        <v>42</v>
      </c>
      <c r="AK380" s="43" t="s">
        <v>42</v>
      </c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3" t="s">
        <v>42</v>
      </c>
      <c r="AI381" s="43" t="s">
        <v>42</v>
      </c>
      <c r="AJ381" s="43" t="s">
        <v>42</v>
      </c>
      <c r="AK381" s="43" t="s">
        <v>42</v>
      </c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3" t="s">
        <v>42</v>
      </c>
      <c r="AI382" s="43" t="s">
        <v>42</v>
      </c>
      <c r="AJ382" s="43" t="s">
        <v>42</v>
      </c>
      <c r="AK382" s="43" t="s">
        <v>42</v>
      </c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3" t="s">
        <v>42</v>
      </c>
      <c r="AI383" s="43" t="s">
        <v>42</v>
      </c>
      <c r="AJ383" s="43" t="s">
        <v>42</v>
      </c>
      <c r="AK383" s="43" t="s">
        <v>42</v>
      </c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3" t="s">
        <v>42</v>
      </c>
      <c r="AI384" s="43" t="s">
        <v>42</v>
      </c>
      <c r="AJ384" s="43" t="s">
        <v>42</v>
      </c>
      <c r="AK384" s="43" t="s">
        <v>42</v>
      </c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3" t="s">
        <v>42</v>
      </c>
      <c r="AI385" s="43" t="s">
        <v>42</v>
      </c>
      <c r="AJ385" s="43" t="s">
        <v>42</v>
      </c>
      <c r="AK385" s="43" t="s">
        <v>42</v>
      </c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3" t="s">
        <v>42</v>
      </c>
      <c r="AI386" s="43" t="s">
        <v>42</v>
      </c>
      <c r="AJ386" s="43" t="s">
        <v>42</v>
      </c>
      <c r="AK386" s="43" t="s">
        <v>42</v>
      </c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3" t="s">
        <v>42</v>
      </c>
      <c r="AI387" s="43" t="s">
        <v>42</v>
      </c>
      <c r="AJ387" s="43" t="s">
        <v>42</v>
      </c>
      <c r="AK387" s="43" t="s">
        <v>42</v>
      </c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3" t="s">
        <v>42</v>
      </c>
      <c r="AI388" s="43" t="s">
        <v>42</v>
      </c>
      <c r="AJ388" s="43" t="s">
        <v>42</v>
      </c>
      <c r="AK388" s="43" t="s">
        <v>42</v>
      </c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3" t="s">
        <v>42</v>
      </c>
      <c r="AI389" s="43" t="s">
        <v>42</v>
      </c>
      <c r="AJ389" s="43" t="s">
        <v>42</v>
      </c>
      <c r="AK389" s="43" t="s">
        <v>42</v>
      </c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3" t="s">
        <v>42</v>
      </c>
      <c r="AI390" s="43" t="s">
        <v>42</v>
      </c>
      <c r="AJ390" s="43" t="s">
        <v>42</v>
      </c>
      <c r="AK390" s="43" t="s">
        <v>42</v>
      </c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3" t="s">
        <v>42</v>
      </c>
      <c r="AI391" s="43" t="s">
        <v>42</v>
      </c>
      <c r="AJ391" s="43" t="s">
        <v>42</v>
      </c>
      <c r="AK391" s="43" t="s">
        <v>42</v>
      </c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3" t="s">
        <v>42</v>
      </c>
      <c r="AI392" s="43" t="s">
        <v>42</v>
      </c>
      <c r="AJ392" s="43" t="s">
        <v>42</v>
      </c>
      <c r="AK392" s="43" t="s">
        <v>42</v>
      </c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3" t="s">
        <v>42</v>
      </c>
      <c r="AI393" s="43" t="s">
        <v>42</v>
      </c>
      <c r="AJ393" s="43" t="s">
        <v>42</v>
      </c>
      <c r="AK393" s="43" t="s">
        <v>42</v>
      </c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3" t="s">
        <v>42</v>
      </c>
      <c r="AI394" s="43" t="s">
        <v>42</v>
      </c>
      <c r="AJ394" s="43" t="s">
        <v>42</v>
      </c>
      <c r="AK394" s="43" t="s">
        <v>42</v>
      </c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3" t="s">
        <v>42</v>
      </c>
      <c r="AI395" s="43" t="s">
        <v>42</v>
      </c>
      <c r="AJ395" s="43" t="s">
        <v>42</v>
      </c>
      <c r="AK395" s="43" t="s">
        <v>42</v>
      </c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3" t="s">
        <v>42</v>
      </c>
      <c r="AI396" s="43" t="s">
        <v>42</v>
      </c>
      <c r="AJ396" s="43" t="s">
        <v>42</v>
      </c>
      <c r="AK396" s="43" t="s">
        <v>42</v>
      </c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3" t="s">
        <v>42</v>
      </c>
      <c r="AI397" s="43" t="s">
        <v>42</v>
      </c>
      <c r="AJ397" s="43" t="s">
        <v>42</v>
      </c>
      <c r="AK397" s="43" t="s">
        <v>42</v>
      </c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3" t="s">
        <v>42</v>
      </c>
      <c r="AI398" s="43" t="s">
        <v>42</v>
      </c>
      <c r="AJ398" s="43" t="s">
        <v>42</v>
      </c>
      <c r="AK398" s="43" t="s">
        <v>42</v>
      </c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3" t="s">
        <v>42</v>
      </c>
      <c r="AI399" s="43" t="s">
        <v>42</v>
      </c>
      <c r="AJ399" s="43" t="s">
        <v>42</v>
      </c>
      <c r="AK399" s="43" t="s">
        <v>42</v>
      </c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3" t="s">
        <v>42</v>
      </c>
      <c r="AI400" s="43" t="s">
        <v>42</v>
      </c>
      <c r="AJ400" s="43" t="s">
        <v>42</v>
      </c>
      <c r="AK400" s="43" t="s">
        <v>42</v>
      </c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3" t="s">
        <v>42</v>
      </c>
      <c r="AI401" s="43" t="s">
        <v>42</v>
      </c>
      <c r="AJ401" s="43" t="s">
        <v>42</v>
      </c>
      <c r="AK401" s="43" t="s">
        <v>42</v>
      </c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3" t="s">
        <v>42</v>
      </c>
      <c r="AI402" s="43" t="s">
        <v>42</v>
      </c>
      <c r="AJ402" s="43" t="s">
        <v>42</v>
      </c>
      <c r="AK402" s="43" t="s">
        <v>42</v>
      </c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3" t="s">
        <v>42</v>
      </c>
      <c r="AI403" s="43" t="s">
        <v>42</v>
      </c>
      <c r="AJ403" s="43" t="s">
        <v>42</v>
      </c>
      <c r="AK403" s="43" t="s">
        <v>42</v>
      </c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3" t="s">
        <v>42</v>
      </c>
      <c r="AI404" s="43" t="s">
        <v>42</v>
      </c>
      <c r="AJ404" s="43" t="s">
        <v>42</v>
      </c>
      <c r="AK404" s="43" t="s">
        <v>42</v>
      </c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3" t="s">
        <v>42</v>
      </c>
      <c r="AI405" s="43" t="s">
        <v>42</v>
      </c>
      <c r="AJ405" s="43" t="s">
        <v>42</v>
      </c>
      <c r="AK405" s="43" t="s">
        <v>42</v>
      </c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3" t="s">
        <v>42</v>
      </c>
      <c r="AI406" s="43" t="s">
        <v>42</v>
      </c>
      <c r="AJ406" s="43" t="s">
        <v>42</v>
      </c>
      <c r="AK406" s="43" t="s">
        <v>42</v>
      </c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3" t="s">
        <v>42</v>
      </c>
      <c r="AI407" s="43" t="s">
        <v>42</v>
      </c>
      <c r="AJ407" s="43" t="s">
        <v>42</v>
      </c>
      <c r="AK407" s="43" t="s">
        <v>42</v>
      </c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3" t="s">
        <v>42</v>
      </c>
      <c r="AI408" s="43" t="s">
        <v>42</v>
      </c>
      <c r="AJ408" s="43" t="s">
        <v>42</v>
      </c>
      <c r="AK408" s="43" t="s">
        <v>42</v>
      </c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3" t="s">
        <v>42</v>
      </c>
      <c r="AI409" s="43" t="s">
        <v>42</v>
      </c>
      <c r="AJ409" s="43" t="s">
        <v>42</v>
      </c>
      <c r="AK409" s="43" t="s">
        <v>42</v>
      </c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3" t="s">
        <v>42</v>
      </c>
      <c r="AI410" s="43" t="s">
        <v>42</v>
      </c>
      <c r="AJ410" s="43" t="s">
        <v>42</v>
      </c>
      <c r="AK410" s="43" t="s">
        <v>42</v>
      </c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3" t="s">
        <v>42</v>
      </c>
      <c r="AI411" s="43" t="s">
        <v>42</v>
      </c>
      <c r="AJ411" s="43" t="s">
        <v>42</v>
      </c>
      <c r="AK411" s="43" t="s">
        <v>42</v>
      </c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3" t="s">
        <v>42</v>
      </c>
      <c r="AI412" s="43" t="s">
        <v>42</v>
      </c>
      <c r="AJ412" s="43" t="s">
        <v>42</v>
      </c>
      <c r="AK412" s="43" t="s">
        <v>42</v>
      </c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3" t="s">
        <v>42</v>
      </c>
      <c r="AI413" s="43" t="s">
        <v>42</v>
      </c>
      <c r="AJ413" s="43" t="s">
        <v>42</v>
      </c>
      <c r="AK413" s="43" t="s">
        <v>42</v>
      </c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3" t="s">
        <v>42</v>
      </c>
      <c r="AI414" s="43" t="s">
        <v>42</v>
      </c>
      <c r="AJ414" s="43" t="s">
        <v>42</v>
      </c>
      <c r="AK414" s="43" t="s">
        <v>42</v>
      </c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3" t="s">
        <v>42</v>
      </c>
      <c r="AI415" s="43" t="s">
        <v>42</v>
      </c>
      <c r="AJ415" s="43" t="s">
        <v>42</v>
      </c>
      <c r="AK415" s="43" t="s">
        <v>42</v>
      </c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3" t="s">
        <v>42</v>
      </c>
      <c r="AI416" s="43" t="s">
        <v>42</v>
      </c>
      <c r="AJ416" s="43" t="s">
        <v>42</v>
      </c>
      <c r="AK416" s="43" t="s">
        <v>42</v>
      </c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3" t="s">
        <v>42</v>
      </c>
      <c r="AI417" s="43" t="s">
        <v>42</v>
      </c>
      <c r="AJ417" s="43" t="s">
        <v>42</v>
      </c>
      <c r="AK417" s="43" t="s">
        <v>42</v>
      </c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3" t="s">
        <v>42</v>
      </c>
      <c r="AI418" s="43" t="s">
        <v>42</v>
      </c>
      <c r="AJ418" s="43" t="s">
        <v>42</v>
      </c>
      <c r="AK418" s="43" t="s">
        <v>42</v>
      </c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3" t="s">
        <v>42</v>
      </c>
      <c r="AI419" s="43" t="s">
        <v>42</v>
      </c>
      <c r="AJ419" s="43" t="s">
        <v>42</v>
      </c>
      <c r="AK419" s="43" t="s">
        <v>42</v>
      </c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3" t="s">
        <v>42</v>
      </c>
      <c r="AI420" s="43" t="s">
        <v>42</v>
      </c>
      <c r="AJ420" s="43" t="s">
        <v>42</v>
      </c>
      <c r="AK420" s="43" t="s">
        <v>42</v>
      </c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3" t="s">
        <v>42</v>
      </c>
      <c r="AI421" s="43" t="s">
        <v>42</v>
      </c>
      <c r="AJ421" s="43" t="s">
        <v>42</v>
      </c>
      <c r="AK421" s="43" t="s">
        <v>42</v>
      </c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3" t="s">
        <v>42</v>
      </c>
      <c r="AI422" s="43" t="s">
        <v>42</v>
      </c>
      <c r="AJ422" s="43" t="s">
        <v>42</v>
      </c>
      <c r="AK422" s="43" t="s">
        <v>42</v>
      </c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3" t="s">
        <v>42</v>
      </c>
      <c r="AI423" s="43" t="s">
        <v>42</v>
      </c>
      <c r="AJ423" s="43" t="s">
        <v>42</v>
      </c>
      <c r="AK423" s="43" t="s">
        <v>42</v>
      </c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3" t="s">
        <v>42</v>
      </c>
      <c r="AI424" s="43" t="s">
        <v>42</v>
      </c>
      <c r="AJ424" s="43" t="s">
        <v>42</v>
      </c>
      <c r="AK424" s="43" t="s">
        <v>42</v>
      </c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3" t="s">
        <v>42</v>
      </c>
      <c r="AI425" s="43" t="s">
        <v>42</v>
      </c>
      <c r="AJ425" s="43" t="s">
        <v>42</v>
      </c>
      <c r="AK425" s="43" t="s">
        <v>42</v>
      </c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3" t="s">
        <v>42</v>
      </c>
      <c r="AI426" s="43" t="s">
        <v>42</v>
      </c>
      <c r="AJ426" s="43" t="s">
        <v>42</v>
      </c>
      <c r="AK426" s="43" t="s">
        <v>42</v>
      </c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3" t="s">
        <v>42</v>
      </c>
      <c r="AI427" s="43" t="s">
        <v>42</v>
      </c>
      <c r="AJ427" s="43" t="s">
        <v>42</v>
      </c>
      <c r="AK427" s="43" t="s">
        <v>42</v>
      </c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3" t="s">
        <v>42</v>
      </c>
      <c r="AI428" s="43" t="s">
        <v>42</v>
      </c>
      <c r="AJ428" s="43" t="s">
        <v>42</v>
      </c>
      <c r="AK428" s="43" t="s">
        <v>42</v>
      </c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3" t="s">
        <v>42</v>
      </c>
      <c r="AI429" s="43" t="s">
        <v>42</v>
      </c>
      <c r="AJ429" s="43" t="s">
        <v>42</v>
      </c>
      <c r="AK429" s="43" t="s">
        <v>42</v>
      </c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3" t="s">
        <v>42</v>
      </c>
      <c r="AI430" s="43" t="s">
        <v>42</v>
      </c>
      <c r="AJ430" s="43" t="s">
        <v>42</v>
      </c>
      <c r="AK430" s="43" t="s">
        <v>42</v>
      </c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3" t="s">
        <v>42</v>
      </c>
      <c r="AI431" s="43" t="s">
        <v>42</v>
      </c>
      <c r="AJ431" s="43" t="s">
        <v>42</v>
      </c>
      <c r="AK431" s="43" t="s">
        <v>42</v>
      </c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3" t="s">
        <v>42</v>
      </c>
      <c r="AI432" s="43" t="s">
        <v>42</v>
      </c>
      <c r="AJ432" s="43" t="s">
        <v>42</v>
      </c>
      <c r="AK432" s="43" t="s">
        <v>42</v>
      </c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3" t="s">
        <v>42</v>
      </c>
      <c r="AI433" s="43" t="s">
        <v>42</v>
      </c>
      <c r="AJ433" s="43" t="s">
        <v>42</v>
      </c>
      <c r="AK433" s="43" t="s">
        <v>42</v>
      </c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3" t="s">
        <v>42</v>
      </c>
      <c r="AI434" s="43" t="s">
        <v>42</v>
      </c>
      <c r="AJ434" s="43" t="s">
        <v>42</v>
      </c>
      <c r="AK434" s="43" t="s">
        <v>42</v>
      </c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3" t="s">
        <v>42</v>
      </c>
      <c r="AI435" s="43" t="s">
        <v>42</v>
      </c>
      <c r="AJ435" s="43" t="s">
        <v>42</v>
      </c>
      <c r="AK435" s="43" t="s">
        <v>42</v>
      </c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3" t="s">
        <v>42</v>
      </c>
      <c r="AI436" s="43" t="s">
        <v>42</v>
      </c>
      <c r="AJ436" s="43" t="s">
        <v>42</v>
      </c>
      <c r="AK436" s="43" t="s">
        <v>42</v>
      </c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3" t="s">
        <v>42</v>
      </c>
      <c r="AI437" s="43" t="s">
        <v>42</v>
      </c>
      <c r="AJ437" s="43" t="s">
        <v>42</v>
      </c>
      <c r="AK437" s="43" t="s">
        <v>42</v>
      </c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3" t="s">
        <v>42</v>
      </c>
      <c r="AI438" s="43" t="s">
        <v>42</v>
      </c>
      <c r="AJ438" s="43" t="s">
        <v>42</v>
      </c>
      <c r="AK438" s="43" t="s">
        <v>42</v>
      </c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3" t="s">
        <v>42</v>
      </c>
      <c r="AI439" s="43" t="s">
        <v>42</v>
      </c>
      <c r="AJ439" s="43" t="s">
        <v>42</v>
      </c>
      <c r="AK439" s="43" t="s">
        <v>42</v>
      </c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3" t="s">
        <v>42</v>
      </c>
      <c r="AI440" s="43" t="s">
        <v>42</v>
      </c>
      <c r="AJ440" s="43" t="s">
        <v>42</v>
      </c>
      <c r="AK440" s="43" t="s">
        <v>42</v>
      </c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3" t="s">
        <v>42</v>
      </c>
      <c r="AI441" s="43" t="s">
        <v>42</v>
      </c>
      <c r="AJ441" s="43" t="s">
        <v>42</v>
      </c>
      <c r="AK441" s="43" t="s">
        <v>42</v>
      </c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3" t="s">
        <v>42</v>
      </c>
      <c r="AI442" s="43" t="s">
        <v>42</v>
      </c>
      <c r="AJ442" s="43" t="s">
        <v>42</v>
      </c>
      <c r="AK442" s="43" t="s">
        <v>42</v>
      </c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3" t="s">
        <v>42</v>
      </c>
      <c r="AI443" s="43" t="s">
        <v>42</v>
      </c>
      <c r="AJ443" s="43" t="s">
        <v>42</v>
      </c>
      <c r="AK443" s="43" t="s">
        <v>42</v>
      </c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3" t="s">
        <v>42</v>
      </c>
      <c r="AI444" s="43" t="s">
        <v>42</v>
      </c>
      <c r="AJ444" s="43" t="s">
        <v>42</v>
      </c>
      <c r="AK444" s="43" t="s">
        <v>42</v>
      </c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3" t="s">
        <v>42</v>
      </c>
      <c r="AI445" s="43" t="s">
        <v>42</v>
      </c>
      <c r="AJ445" s="43" t="s">
        <v>42</v>
      </c>
      <c r="AK445" s="43" t="s">
        <v>42</v>
      </c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3" t="s">
        <v>42</v>
      </c>
      <c r="AI446" s="43" t="s">
        <v>42</v>
      </c>
      <c r="AJ446" s="43" t="s">
        <v>42</v>
      </c>
      <c r="AK446" s="43" t="s">
        <v>42</v>
      </c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3" t="s">
        <v>42</v>
      </c>
      <c r="AI447" s="43" t="s">
        <v>42</v>
      </c>
      <c r="AJ447" s="43" t="s">
        <v>42</v>
      </c>
      <c r="AK447" s="43" t="s">
        <v>42</v>
      </c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3" t="s">
        <v>42</v>
      </c>
      <c r="AI448" s="43" t="s">
        <v>42</v>
      </c>
      <c r="AJ448" s="43" t="s">
        <v>42</v>
      </c>
      <c r="AK448" s="43" t="s">
        <v>42</v>
      </c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3" t="s">
        <v>42</v>
      </c>
      <c r="AI449" s="43" t="s">
        <v>42</v>
      </c>
      <c r="AJ449" s="43" t="s">
        <v>42</v>
      </c>
      <c r="AK449" s="43" t="s">
        <v>42</v>
      </c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3" t="s">
        <v>42</v>
      </c>
      <c r="AI450" s="43" t="s">
        <v>42</v>
      </c>
      <c r="AJ450" s="43" t="s">
        <v>42</v>
      </c>
      <c r="AK450" s="43" t="s">
        <v>42</v>
      </c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3" t="s">
        <v>42</v>
      </c>
      <c r="AI451" s="43" t="s">
        <v>42</v>
      </c>
      <c r="AJ451" s="43" t="s">
        <v>42</v>
      </c>
      <c r="AK451" s="43" t="s">
        <v>42</v>
      </c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3" t="s">
        <v>42</v>
      </c>
      <c r="AI452" s="43" t="s">
        <v>42</v>
      </c>
      <c r="AJ452" s="43" t="s">
        <v>42</v>
      </c>
      <c r="AK452" s="43" t="s">
        <v>42</v>
      </c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3" t="s">
        <v>42</v>
      </c>
      <c r="AI453" s="43" t="s">
        <v>42</v>
      </c>
      <c r="AJ453" s="43" t="s">
        <v>42</v>
      </c>
      <c r="AK453" s="43" t="s">
        <v>42</v>
      </c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3" t="s">
        <v>42</v>
      </c>
      <c r="AI454" s="43" t="s">
        <v>42</v>
      </c>
      <c r="AJ454" s="43" t="s">
        <v>42</v>
      </c>
      <c r="AK454" s="43" t="s">
        <v>42</v>
      </c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3" t="s">
        <v>42</v>
      </c>
      <c r="AI455" s="43" t="s">
        <v>42</v>
      </c>
      <c r="AJ455" s="43" t="s">
        <v>42</v>
      </c>
      <c r="AK455" s="43" t="s">
        <v>42</v>
      </c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3" t="s">
        <v>42</v>
      </c>
      <c r="AI456" s="43" t="s">
        <v>42</v>
      </c>
      <c r="AJ456" s="43" t="s">
        <v>42</v>
      </c>
      <c r="AK456" s="43" t="s">
        <v>42</v>
      </c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3" t="s">
        <v>42</v>
      </c>
      <c r="AI457" s="43" t="s">
        <v>42</v>
      </c>
      <c r="AJ457" s="43" t="s">
        <v>42</v>
      </c>
      <c r="AK457" s="43" t="s">
        <v>42</v>
      </c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3" t="s">
        <v>42</v>
      </c>
      <c r="AI458" s="43" t="s">
        <v>42</v>
      </c>
      <c r="AJ458" s="43" t="s">
        <v>42</v>
      </c>
      <c r="AK458" s="43" t="s">
        <v>42</v>
      </c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3" t="s">
        <v>42</v>
      </c>
      <c r="AI459" s="43" t="s">
        <v>42</v>
      </c>
      <c r="AJ459" s="43" t="s">
        <v>42</v>
      </c>
      <c r="AK459" s="43" t="s">
        <v>42</v>
      </c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3" t="s">
        <v>42</v>
      </c>
      <c r="AI460" s="43" t="s">
        <v>42</v>
      </c>
      <c r="AJ460" s="43" t="s">
        <v>42</v>
      </c>
      <c r="AK460" s="43" t="s">
        <v>42</v>
      </c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3" t="s">
        <v>42</v>
      </c>
      <c r="AI461" s="43" t="s">
        <v>42</v>
      </c>
      <c r="AJ461" s="43" t="s">
        <v>42</v>
      </c>
      <c r="AK461" s="43" t="s">
        <v>42</v>
      </c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3" t="s">
        <v>42</v>
      </c>
      <c r="AI462" s="43" t="s">
        <v>42</v>
      </c>
      <c r="AJ462" s="43" t="s">
        <v>42</v>
      </c>
      <c r="AK462" s="43" t="s">
        <v>42</v>
      </c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3" t="s">
        <v>42</v>
      </c>
      <c r="AI463" s="43" t="s">
        <v>42</v>
      </c>
      <c r="AJ463" s="43" t="s">
        <v>42</v>
      </c>
      <c r="AK463" s="43" t="s">
        <v>42</v>
      </c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3" t="s">
        <v>42</v>
      </c>
      <c r="AI464" s="43" t="s">
        <v>42</v>
      </c>
      <c r="AJ464" s="43" t="s">
        <v>42</v>
      </c>
      <c r="AK464" s="43" t="s">
        <v>42</v>
      </c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3" t="s">
        <v>42</v>
      </c>
      <c r="AI465" s="43" t="s">
        <v>42</v>
      </c>
      <c r="AJ465" s="43" t="s">
        <v>42</v>
      </c>
      <c r="AK465" s="43" t="s">
        <v>42</v>
      </c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3" t="s">
        <v>42</v>
      </c>
      <c r="AI466" s="43" t="s">
        <v>42</v>
      </c>
      <c r="AJ466" s="43" t="s">
        <v>42</v>
      </c>
      <c r="AK466" s="43" t="s">
        <v>42</v>
      </c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3" t="s">
        <v>42</v>
      </c>
      <c r="AI467" s="43" t="s">
        <v>42</v>
      </c>
      <c r="AJ467" s="43" t="s">
        <v>42</v>
      </c>
      <c r="AK467" s="43" t="s">
        <v>42</v>
      </c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3" t="s">
        <v>42</v>
      </c>
      <c r="AI468" s="43" t="s">
        <v>42</v>
      </c>
      <c r="AJ468" s="43" t="s">
        <v>42</v>
      </c>
      <c r="AK468" s="43" t="s">
        <v>42</v>
      </c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3" t="s">
        <v>42</v>
      </c>
      <c r="AI469" s="43" t="s">
        <v>42</v>
      </c>
      <c r="AJ469" s="43" t="s">
        <v>42</v>
      </c>
      <c r="AK469" s="43" t="s">
        <v>42</v>
      </c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3" t="s">
        <v>42</v>
      </c>
      <c r="AI470" s="43" t="s">
        <v>42</v>
      </c>
      <c r="AJ470" s="43" t="s">
        <v>42</v>
      </c>
      <c r="AK470" s="43" t="s">
        <v>42</v>
      </c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3" t="s">
        <v>42</v>
      </c>
      <c r="AI471" s="43" t="s">
        <v>42</v>
      </c>
      <c r="AJ471" s="43" t="s">
        <v>42</v>
      </c>
      <c r="AK471" s="43" t="s">
        <v>42</v>
      </c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3" t="s">
        <v>42</v>
      </c>
      <c r="AI472" s="43" t="s">
        <v>42</v>
      </c>
      <c r="AJ472" s="43" t="s">
        <v>42</v>
      </c>
      <c r="AK472" s="43" t="s">
        <v>42</v>
      </c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3" t="s">
        <v>42</v>
      </c>
      <c r="AI473" s="43" t="s">
        <v>42</v>
      </c>
      <c r="AJ473" s="43" t="s">
        <v>42</v>
      </c>
      <c r="AK473" s="43" t="s">
        <v>42</v>
      </c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3" t="s">
        <v>42</v>
      </c>
      <c r="AI474" s="43" t="s">
        <v>42</v>
      </c>
      <c r="AJ474" s="43" t="s">
        <v>42</v>
      </c>
      <c r="AK474" s="43" t="s">
        <v>42</v>
      </c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3" t="s">
        <v>42</v>
      </c>
      <c r="AI475" s="43" t="s">
        <v>42</v>
      </c>
      <c r="AJ475" s="43" t="s">
        <v>42</v>
      </c>
      <c r="AK475" s="43" t="s">
        <v>42</v>
      </c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3" t="s">
        <v>42</v>
      </c>
      <c r="AI476" s="43" t="s">
        <v>42</v>
      </c>
      <c r="AJ476" s="43" t="s">
        <v>42</v>
      </c>
      <c r="AK476" s="43" t="s">
        <v>42</v>
      </c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3" t="s">
        <v>42</v>
      </c>
      <c r="AI477" s="43" t="s">
        <v>42</v>
      </c>
      <c r="AJ477" s="43" t="s">
        <v>42</v>
      </c>
      <c r="AK477" s="43" t="s">
        <v>42</v>
      </c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3" t="s">
        <v>42</v>
      </c>
      <c r="AI478" s="43" t="s">
        <v>42</v>
      </c>
      <c r="AJ478" s="43" t="s">
        <v>42</v>
      </c>
      <c r="AK478" s="43" t="s">
        <v>42</v>
      </c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3" t="s">
        <v>42</v>
      </c>
      <c r="AI479" s="43" t="s">
        <v>42</v>
      </c>
      <c r="AJ479" s="43" t="s">
        <v>42</v>
      </c>
      <c r="AK479" s="43" t="s">
        <v>42</v>
      </c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3" t="s">
        <v>42</v>
      </c>
      <c r="AI480" s="43" t="s">
        <v>42</v>
      </c>
      <c r="AJ480" s="43" t="s">
        <v>42</v>
      </c>
      <c r="AK480" s="43" t="s">
        <v>42</v>
      </c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3" t="s">
        <v>42</v>
      </c>
      <c r="AI481" s="43" t="s">
        <v>42</v>
      </c>
      <c r="AJ481" s="43" t="s">
        <v>42</v>
      </c>
      <c r="AK481" s="43" t="s">
        <v>42</v>
      </c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3" t="s">
        <v>42</v>
      </c>
      <c r="AI482" s="43" t="s">
        <v>42</v>
      </c>
      <c r="AJ482" s="43" t="s">
        <v>42</v>
      </c>
      <c r="AK482" s="43" t="s">
        <v>42</v>
      </c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3" t="s">
        <v>42</v>
      </c>
      <c r="AI483" s="43" t="s">
        <v>42</v>
      </c>
      <c r="AJ483" s="43" t="s">
        <v>42</v>
      </c>
      <c r="AK483" s="43" t="s">
        <v>42</v>
      </c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3" t="s">
        <v>42</v>
      </c>
      <c r="AI484" s="43" t="s">
        <v>42</v>
      </c>
      <c r="AJ484" s="43" t="s">
        <v>42</v>
      </c>
      <c r="AK484" s="43" t="s">
        <v>42</v>
      </c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3" t="s">
        <v>42</v>
      </c>
      <c r="AI485" s="43" t="s">
        <v>42</v>
      </c>
      <c r="AJ485" s="43" t="s">
        <v>42</v>
      </c>
      <c r="AK485" s="43" t="s">
        <v>42</v>
      </c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3" t="s">
        <v>42</v>
      </c>
      <c r="AI486" s="43" t="s">
        <v>42</v>
      </c>
      <c r="AJ486" s="43" t="s">
        <v>42</v>
      </c>
      <c r="AK486" s="43" t="s">
        <v>42</v>
      </c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3" t="s">
        <v>42</v>
      </c>
      <c r="AI487" s="43" t="s">
        <v>42</v>
      </c>
      <c r="AJ487" s="43" t="s">
        <v>42</v>
      </c>
      <c r="AK487" s="43" t="s">
        <v>42</v>
      </c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3" t="s">
        <v>42</v>
      </c>
      <c r="AI488" s="43" t="s">
        <v>42</v>
      </c>
      <c r="AJ488" s="43" t="s">
        <v>42</v>
      </c>
      <c r="AK488" s="43" t="s">
        <v>42</v>
      </c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3" t="s">
        <v>42</v>
      </c>
      <c r="AI489" s="43" t="s">
        <v>42</v>
      </c>
      <c r="AJ489" s="43" t="s">
        <v>42</v>
      </c>
      <c r="AK489" s="43" t="s">
        <v>42</v>
      </c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3" t="s">
        <v>42</v>
      </c>
      <c r="AI490" s="43" t="s">
        <v>42</v>
      </c>
      <c r="AJ490" s="43" t="s">
        <v>42</v>
      </c>
      <c r="AK490" s="43" t="s">
        <v>42</v>
      </c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3" t="s">
        <v>42</v>
      </c>
      <c r="AI491" s="43" t="s">
        <v>42</v>
      </c>
      <c r="AJ491" s="43" t="s">
        <v>42</v>
      </c>
      <c r="AK491" s="43" t="s">
        <v>42</v>
      </c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3" t="s">
        <v>42</v>
      </c>
      <c r="AI492" s="43" t="s">
        <v>42</v>
      </c>
      <c r="AJ492" s="43" t="s">
        <v>42</v>
      </c>
      <c r="AK492" s="43" t="s">
        <v>42</v>
      </c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3" t="s">
        <v>42</v>
      </c>
      <c r="AI493" s="43" t="s">
        <v>42</v>
      </c>
      <c r="AJ493" s="43" t="s">
        <v>42</v>
      </c>
      <c r="AK493" s="43" t="s">
        <v>42</v>
      </c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3" t="s">
        <v>42</v>
      </c>
      <c r="AI494" s="43" t="s">
        <v>42</v>
      </c>
      <c r="AJ494" s="43" t="s">
        <v>42</v>
      </c>
      <c r="AK494" s="43" t="s">
        <v>42</v>
      </c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3" t="s">
        <v>42</v>
      </c>
      <c r="AI495" s="43" t="s">
        <v>42</v>
      </c>
      <c r="AJ495" s="43" t="s">
        <v>42</v>
      </c>
      <c r="AK495" s="43" t="s">
        <v>42</v>
      </c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3" t="s">
        <v>42</v>
      </c>
      <c r="AI496" s="43" t="s">
        <v>42</v>
      </c>
      <c r="AJ496" s="43" t="s">
        <v>42</v>
      </c>
      <c r="AK496" s="43" t="s">
        <v>42</v>
      </c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3" t="s">
        <v>42</v>
      </c>
      <c r="AI497" s="43" t="s">
        <v>42</v>
      </c>
      <c r="AJ497" s="43" t="s">
        <v>42</v>
      </c>
      <c r="AK497" s="43" t="s">
        <v>42</v>
      </c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3" t="s">
        <v>42</v>
      </c>
      <c r="AI498" s="43" t="s">
        <v>42</v>
      </c>
      <c r="AJ498" s="43" t="s">
        <v>42</v>
      </c>
      <c r="AK498" s="43" t="s">
        <v>42</v>
      </c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3" t="s">
        <v>42</v>
      </c>
      <c r="AI499" s="43" t="s">
        <v>42</v>
      </c>
      <c r="AJ499" s="43" t="s">
        <v>42</v>
      </c>
      <c r="AK499" s="43" t="s">
        <v>42</v>
      </c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3" t="s">
        <v>42</v>
      </c>
      <c r="AI500" s="43" t="s">
        <v>42</v>
      </c>
      <c r="AJ500" s="43" t="s">
        <v>42</v>
      </c>
      <c r="AK500" s="43" t="s">
        <v>42</v>
      </c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3" t="s">
        <v>42</v>
      </c>
      <c r="AI501" s="43" t="s">
        <v>42</v>
      </c>
      <c r="AJ501" s="43" t="s">
        <v>42</v>
      </c>
      <c r="AK501" s="43" t="s">
        <v>42</v>
      </c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3" t="s">
        <v>42</v>
      </c>
      <c r="AI502" s="43" t="s">
        <v>42</v>
      </c>
      <c r="AJ502" s="43" t="s">
        <v>42</v>
      </c>
      <c r="AK502" s="43" t="s">
        <v>42</v>
      </c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3" t="s">
        <v>42</v>
      </c>
      <c r="AI503" s="43" t="s">
        <v>42</v>
      </c>
      <c r="AJ503" s="43" t="s">
        <v>42</v>
      </c>
      <c r="AK503" s="43" t="s">
        <v>42</v>
      </c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3" t="s">
        <v>42</v>
      </c>
      <c r="AI504" s="43" t="s">
        <v>42</v>
      </c>
      <c r="AJ504" s="43" t="s">
        <v>42</v>
      </c>
      <c r="AK504" s="43" t="s">
        <v>42</v>
      </c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3" t="s">
        <v>42</v>
      </c>
      <c r="AI505" s="43" t="s">
        <v>42</v>
      </c>
      <c r="AJ505" s="43" t="s">
        <v>42</v>
      </c>
      <c r="AK505" s="43" t="s">
        <v>42</v>
      </c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3" t="s">
        <v>42</v>
      </c>
      <c r="AI506" s="43" t="s">
        <v>42</v>
      </c>
      <c r="AJ506" s="43" t="s">
        <v>42</v>
      </c>
      <c r="AK506" s="43" t="s">
        <v>42</v>
      </c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3" t="s">
        <v>42</v>
      </c>
      <c r="AI507" s="43" t="s">
        <v>42</v>
      </c>
      <c r="AJ507" s="43" t="s">
        <v>42</v>
      </c>
      <c r="AK507" s="43" t="s">
        <v>42</v>
      </c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3" t="s">
        <v>42</v>
      </c>
      <c r="AI508" s="43" t="s">
        <v>42</v>
      </c>
      <c r="AJ508" s="43" t="s">
        <v>42</v>
      </c>
      <c r="AK508" s="43" t="s">
        <v>42</v>
      </c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3" t="s">
        <v>42</v>
      </c>
      <c r="AI509" s="43" t="s">
        <v>42</v>
      </c>
      <c r="AJ509" s="43" t="s">
        <v>42</v>
      </c>
      <c r="AK509" s="43" t="s">
        <v>42</v>
      </c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3" t="s">
        <v>42</v>
      </c>
      <c r="AI510" s="43" t="s">
        <v>42</v>
      </c>
      <c r="AJ510" s="43" t="s">
        <v>42</v>
      </c>
      <c r="AK510" s="43" t="s">
        <v>42</v>
      </c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3" t="s">
        <v>42</v>
      </c>
      <c r="AI511" s="43" t="s">
        <v>42</v>
      </c>
      <c r="AJ511" s="43" t="s">
        <v>42</v>
      </c>
      <c r="AK511" s="43" t="s">
        <v>42</v>
      </c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3" t="s">
        <v>42</v>
      </c>
      <c r="AI512" s="43" t="s">
        <v>42</v>
      </c>
      <c r="AJ512" s="43" t="s">
        <v>42</v>
      </c>
      <c r="AK512" s="43" t="s">
        <v>42</v>
      </c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3" t="s">
        <v>42</v>
      </c>
      <c r="AI513" s="43" t="s">
        <v>42</v>
      </c>
      <c r="AJ513" s="43" t="s">
        <v>42</v>
      </c>
      <c r="AK513" s="43" t="s">
        <v>42</v>
      </c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3" t="s">
        <v>42</v>
      </c>
      <c r="AI514" s="43" t="s">
        <v>42</v>
      </c>
      <c r="AJ514" s="43" t="s">
        <v>42</v>
      </c>
      <c r="AK514" s="43" t="s">
        <v>42</v>
      </c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3" t="s">
        <v>42</v>
      </c>
      <c r="AI515" s="43" t="s">
        <v>42</v>
      </c>
      <c r="AJ515" s="43" t="s">
        <v>42</v>
      </c>
      <c r="AK515" s="43" t="s">
        <v>42</v>
      </c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3" t="s">
        <v>42</v>
      </c>
      <c r="AI516" s="43" t="s">
        <v>42</v>
      </c>
      <c r="AJ516" s="43" t="s">
        <v>42</v>
      </c>
      <c r="AK516" s="43" t="s">
        <v>42</v>
      </c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3" t="s">
        <v>42</v>
      </c>
      <c r="AI517" s="43" t="s">
        <v>42</v>
      </c>
      <c r="AJ517" s="43" t="s">
        <v>42</v>
      </c>
      <c r="AK517" s="43" t="s">
        <v>42</v>
      </c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3" t="s">
        <v>42</v>
      </c>
      <c r="AI518" s="43" t="s">
        <v>42</v>
      </c>
      <c r="AJ518" s="43" t="s">
        <v>42</v>
      </c>
      <c r="AK518" s="43" t="s">
        <v>42</v>
      </c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3" t="s">
        <v>42</v>
      </c>
      <c r="AI519" s="43" t="s">
        <v>42</v>
      </c>
      <c r="AJ519" s="43" t="s">
        <v>42</v>
      </c>
      <c r="AK519" s="43" t="s">
        <v>42</v>
      </c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3" t="s">
        <v>42</v>
      </c>
      <c r="AI520" s="43" t="s">
        <v>42</v>
      </c>
      <c r="AJ520" s="43" t="s">
        <v>42</v>
      </c>
      <c r="AK520" s="43" t="s">
        <v>42</v>
      </c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3" t="s">
        <v>42</v>
      </c>
      <c r="AI521" s="43" t="s">
        <v>42</v>
      </c>
      <c r="AJ521" s="43" t="s">
        <v>42</v>
      </c>
      <c r="AK521" s="43" t="s">
        <v>42</v>
      </c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3" t="s">
        <v>42</v>
      </c>
      <c r="AI522" s="43" t="s">
        <v>42</v>
      </c>
      <c r="AJ522" s="43" t="s">
        <v>42</v>
      </c>
      <c r="AK522" s="43" t="s">
        <v>42</v>
      </c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3" t="s">
        <v>42</v>
      </c>
      <c r="AI523" s="43" t="s">
        <v>42</v>
      </c>
      <c r="AJ523" s="43" t="s">
        <v>42</v>
      </c>
      <c r="AK523" s="43" t="s">
        <v>42</v>
      </c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3" t="s">
        <v>42</v>
      </c>
      <c r="AI524" s="43" t="s">
        <v>42</v>
      </c>
      <c r="AJ524" s="43" t="s">
        <v>42</v>
      </c>
      <c r="AK524" s="43" t="s">
        <v>42</v>
      </c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3" t="s">
        <v>42</v>
      </c>
      <c r="AI525" s="43" t="s">
        <v>42</v>
      </c>
      <c r="AJ525" s="43" t="s">
        <v>42</v>
      </c>
      <c r="AK525" s="43" t="s">
        <v>42</v>
      </c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3" t="s">
        <v>42</v>
      </c>
      <c r="AI526" s="43" t="s">
        <v>42</v>
      </c>
      <c r="AJ526" s="43" t="s">
        <v>42</v>
      </c>
      <c r="AK526" s="43" t="s">
        <v>42</v>
      </c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3" t="s">
        <v>42</v>
      </c>
      <c r="AI527" s="43" t="s">
        <v>42</v>
      </c>
      <c r="AJ527" s="43" t="s">
        <v>42</v>
      </c>
      <c r="AK527" s="43" t="s">
        <v>42</v>
      </c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3" t="s">
        <v>42</v>
      </c>
      <c r="AI528" s="43" t="s">
        <v>42</v>
      </c>
      <c r="AJ528" s="43" t="s">
        <v>42</v>
      </c>
      <c r="AK528" s="43" t="s">
        <v>42</v>
      </c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3" t="s">
        <v>42</v>
      </c>
      <c r="AI529" s="43" t="s">
        <v>42</v>
      </c>
      <c r="AJ529" s="43" t="s">
        <v>42</v>
      </c>
      <c r="AK529" s="43" t="s">
        <v>42</v>
      </c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3" t="s">
        <v>42</v>
      </c>
      <c r="AI530" s="43" t="s">
        <v>42</v>
      </c>
      <c r="AJ530" s="43" t="s">
        <v>42</v>
      </c>
      <c r="AK530" s="43" t="s">
        <v>42</v>
      </c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3" t="s">
        <v>42</v>
      </c>
      <c r="AI531" s="43" t="s">
        <v>42</v>
      </c>
      <c r="AJ531" s="43" t="s">
        <v>42</v>
      </c>
      <c r="AK531" s="43" t="s">
        <v>42</v>
      </c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3" t="s">
        <v>42</v>
      </c>
      <c r="AI532" s="43" t="s">
        <v>42</v>
      </c>
      <c r="AJ532" s="43" t="s">
        <v>42</v>
      </c>
      <c r="AK532" s="43" t="s">
        <v>42</v>
      </c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3" t="s">
        <v>42</v>
      </c>
      <c r="AI533" s="43" t="s">
        <v>42</v>
      </c>
      <c r="AJ533" s="43" t="s">
        <v>42</v>
      </c>
      <c r="AK533" s="43" t="s">
        <v>42</v>
      </c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3" t="s">
        <v>42</v>
      </c>
      <c r="AI534" s="43" t="s">
        <v>42</v>
      </c>
      <c r="AJ534" s="43" t="s">
        <v>42</v>
      </c>
      <c r="AK534" s="43" t="s">
        <v>42</v>
      </c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3" t="s">
        <v>42</v>
      </c>
      <c r="AI535" s="43" t="s">
        <v>42</v>
      </c>
      <c r="AJ535" s="43" t="s">
        <v>42</v>
      </c>
      <c r="AK535" s="43" t="s">
        <v>42</v>
      </c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3" t="s">
        <v>42</v>
      </c>
      <c r="AI536" s="43" t="s">
        <v>42</v>
      </c>
      <c r="AJ536" s="43" t="s">
        <v>42</v>
      </c>
      <c r="AK536" s="43" t="s">
        <v>42</v>
      </c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3" t="s">
        <v>42</v>
      </c>
      <c r="AI537" s="43" t="s">
        <v>42</v>
      </c>
      <c r="AJ537" s="43" t="s">
        <v>42</v>
      </c>
      <c r="AK537" s="43" t="s">
        <v>42</v>
      </c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3" t="s">
        <v>42</v>
      </c>
      <c r="AI538" s="43" t="s">
        <v>42</v>
      </c>
      <c r="AJ538" s="43" t="s">
        <v>42</v>
      </c>
      <c r="AK538" s="43" t="s">
        <v>42</v>
      </c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3" t="s">
        <v>42</v>
      </c>
      <c r="AI539" s="43" t="s">
        <v>42</v>
      </c>
      <c r="AJ539" s="43" t="s">
        <v>42</v>
      </c>
      <c r="AK539" s="43" t="s">
        <v>42</v>
      </c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3" t="s">
        <v>42</v>
      </c>
      <c r="AI540" s="43" t="s">
        <v>42</v>
      </c>
      <c r="AJ540" s="43" t="s">
        <v>42</v>
      </c>
      <c r="AK540" s="43" t="s">
        <v>42</v>
      </c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3" t="s">
        <v>42</v>
      </c>
      <c r="AI541" s="43" t="s">
        <v>42</v>
      </c>
      <c r="AJ541" s="43" t="s">
        <v>42</v>
      </c>
      <c r="AK541" s="43" t="s">
        <v>42</v>
      </c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3" t="s">
        <v>42</v>
      </c>
      <c r="AI542" s="43" t="s">
        <v>42</v>
      </c>
      <c r="AJ542" s="43" t="s">
        <v>42</v>
      </c>
      <c r="AK542" s="43" t="s">
        <v>42</v>
      </c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3" t="s">
        <v>42</v>
      </c>
      <c r="AI543" s="43" t="s">
        <v>42</v>
      </c>
      <c r="AJ543" s="43" t="s">
        <v>42</v>
      </c>
      <c r="AK543" s="43" t="s">
        <v>42</v>
      </c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3" t="s">
        <v>42</v>
      </c>
      <c r="AI544" s="43" t="s">
        <v>42</v>
      </c>
      <c r="AJ544" s="43" t="s">
        <v>42</v>
      </c>
      <c r="AK544" s="43" t="s">
        <v>42</v>
      </c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3" t="s">
        <v>42</v>
      </c>
      <c r="AI545" s="43" t="s">
        <v>42</v>
      </c>
      <c r="AJ545" s="43" t="s">
        <v>42</v>
      </c>
      <c r="AK545" s="43" t="s">
        <v>42</v>
      </c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3" t="s">
        <v>42</v>
      </c>
      <c r="AI546" s="43" t="s">
        <v>42</v>
      </c>
      <c r="AJ546" s="43" t="s">
        <v>42</v>
      </c>
      <c r="AK546" s="43" t="s">
        <v>42</v>
      </c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3" t="s">
        <v>42</v>
      </c>
      <c r="AI547" s="43" t="s">
        <v>42</v>
      </c>
      <c r="AJ547" s="43" t="s">
        <v>42</v>
      </c>
      <c r="AK547" s="43" t="s">
        <v>42</v>
      </c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3" t="s">
        <v>42</v>
      </c>
      <c r="AI548" s="43" t="s">
        <v>42</v>
      </c>
      <c r="AJ548" s="43" t="s">
        <v>42</v>
      </c>
      <c r="AK548" s="43" t="s">
        <v>42</v>
      </c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3" t="s">
        <v>42</v>
      </c>
      <c r="AI549" s="43" t="s">
        <v>42</v>
      </c>
      <c r="AJ549" s="43" t="s">
        <v>42</v>
      </c>
      <c r="AK549" s="43" t="s">
        <v>42</v>
      </c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3" t="s">
        <v>42</v>
      </c>
      <c r="AI550" s="43" t="s">
        <v>42</v>
      </c>
      <c r="AJ550" s="43" t="s">
        <v>42</v>
      </c>
      <c r="AK550" s="43" t="s">
        <v>42</v>
      </c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3" t="s">
        <v>42</v>
      </c>
      <c r="AI551" s="43" t="s">
        <v>42</v>
      </c>
      <c r="AJ551" s="43" t="s">
        <v>42</v>
      </c>
      <c r="AK551" s="43" t="s">
        <v>42</v>
      </c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3" t="s">
        <v>42</v>
      </c>
      <c r="AI552" s="43" t="s">
        <v>42</v>
      </c>
      <c r="AJ552" s="43" t="s">
        <v>42</v>
      </c>
      <c r="AK552" s="43" t="s">
        <v>42</v>
      </c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3" t="s">
        <v>42</v>
      </c>
      <c r="AI553" s="43" t="s">
        <v>42</v>
      </c>
      <c r="AJ553" s="43" t="s">
        <v>42</v>
      </c>
      <c r="AK553" s="43" t="s">
        <v>42</v>
      </c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3" t="s">
        <v>42</v>
      </c>
      <c r="AI554" s="43" t="s">
        <v>42</v>
      </c>
      <c r="AJ554" s="43" t="s">
        <v>42</v>
      </c>
      <c r="AK554" s="43" t="s">
        <v>42</v>
      </c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3" t="s">
        <v>42</v>
      </c>
      <c r="AI555" s="43" t="s">
        <v>42</v>
      </c>
      <c r="AJ555" s="43" t="s">
        <v>42</v>
      </c>
      <c r="AK555" s="43" t="s">
        <v>42</v>
      </c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3" t="s">
        <v>42</v>
      </c>
      <c r="AI556" s="43" t="s">
        <v>42</v>
      </c>
      <c r="AJ556" s="43" t="s">
        <v>42</v>
      </c>
      <c r="AK556" s="43" t="s">
        <v>42</v>
      </c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3" t="s">
        <v>42</v>
      </c>
      <c r="AI557" s="43" t="s">
        <v>42</v>
      </c>
      <c r="AJ557" s="43" t="s">
        <v>42</v>
      </c>
      <c r="AK557" s="43" t="s">
        <v>42</v>
      </c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3" t="s">
        <v>42</v>
      </c>
      <c r="AI558" s="43" t="s">
        <v>42</v>
      </c>
      <c r="AJ558" s="43" t="s">
        <v>42</v>
      </c>
      <c r="AK558" s="43" t="s">
        <v>42</v>
      </c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3" t="s">
        <v>42</v>
      </c>
      <c r="AI559" s="43" t="s">
        <v>42</v>
      </c>
      <c r="AJ559" s="43" t="s">
        <v>42</v>
      </c>
      <c r="AK559" s="43" t="s">
        <v>42</v>
      </c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3" t="s">
        <v>42</v>
      </c>
      <c r="AI560" s="43" t="s">
        <v>42</v>
      </c>
      <c r="AJ560" s="43" t="s">
        <v>42</v>
      </c>
      <c r="AK560" s="43" t="s">
        <v>42</v>
      </c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3" t="s">
        <v>42</v>
      </c>
      <c r="AI561" s="43" t="s">
        <v>42</v>
      </c>
      <c r="AJ561" s="43" t="s">
        <v>42</v>
      </c>
      <c r="AK561" s="43" t="s">
        <v>42</v>
      </c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3" t="s">
        <v>42</v>
      </c>
      <c r="AI562" s="43" t="s">
        <v>42</v>
      </c>
      <c r="AJ562" s="43" t="s">
        <v>42</v>
      </c>
      <c r="AK562" s="43" t="s">
        <v>42</v>
      </c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3" t="s">
        <v>42</v>
      </c>
      <c r="AI563" s="43" t="s">
        <v>42</v>
      </c>
      <c r="AJ563" s="43" t="s">
        <v>42</v>
      </c>
      <c r="AK563" s="43" t="s">
        <v>42</v>
      </c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3" t="s">
        <v>42</v>
      </c>
      <c r="AI564" s="43" t="s">
        <v>42</v>
      </c>
      <c r="AJ564" s="43" t="s">
        <v>42</v>
      </c>
      <c r="AK564" s="43" t="s">
        <v>42</v>
      </c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3" t="s">
        <v>42</v>
      </c>
      <c r="AI565" s="43" t="s">
        <v>42</v>
      </c>
      <c r="AJ565" s="43" t="s">
        <v>42</v>
      </c>
      <c r="AK565" s="43" t="s">
        <v>42</v>
      </c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3" t="s">
        <v>42</v>
      </c>
      <c r="AI566" s="43" t="s">
        <v>42</v>
      </c>
      <c r="AJ566" s="43" t="s">
        <v>42</v>
      </c>
      <c r="AK566" s="43" t="s">
        <v>42</v>
      </c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3" t="s">
        <v>42</v>
      </c>
      <c r="AI567" s="43" t="s">
        <v>42</v>
      </c>
      <c r="AJ567" s="43" t="s">
        <v>42</v>
      </c>
      <c r="AK567" s="43" t="s">
        <v>42</v>
      </c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3" t="s">
        <v>42</v>
      </c>
      <c r="AI568" s="43" t="s">
        <v>42</v>
      </c>
      <c r="AJ568" s="43" t="s">
        <v>42</v>
      </c>
      <c r="AK568" s="43" t="s">
        <v>42</v>
      </c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3" t="s">
        <v>42</v>
      </c>
      <c r="AI569" s="43" t="s">
        <v>42</v>
      </c>
      <c r="AJ569" s="43" t="s">
        <v>42</v>
      </c>
      <c r="AK569" s="43" t="s">
        <v>42</v>
      </c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3" t="s">
        <v>42</v>
      </c>
      <c r="AI570" s="43" t="s">
        <v>42</v>
      </c>
      <c r="AJ570" s="43" t="s">
        <v>42</v>
      </c>
      <c r="AK570" s="43" t="s">
        <v>42</v>
      </c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3" t="s">
        <v>42</v>
      </c>
      <c r="AI571" s="43" t="s">
        <v>42</v>
      </c>
      <c r="AJ571" s="43" t="s">
        <v>42</v>
      </c>
      <c r="AK571" s="43" t="s">
        <v>42</v>
      </c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3" t="s">
        <v>42</v>
      </c>
      <c r="AI572" s="43" t="s">
        <v>42</v>
      </c>
      <c r="AJ572" s="43" t="s">
        <v>42</v>
      </c>
      <c r="AK572" s="43" t="s">
        <v>42</v>
      </c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3" t="s">
        <v>42</v>
      </c>
      <c r="AI573" s="43" t="s">
        <v>42</v>
      </c>
      <c r="AJ573" s="43" t="s">
        <v>42</v>
      </c>
      <c r="AK573" s="43" t="s">
        <v>42</v>
      </c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3" t="s">
        <v>42</v>
      </c>
      <c r="AI574" s="43" t="s">
        <v>42</v>
      </c>
      <c r="AJ574" s="43" t="s">
        <v>42</v>
      </c>
      <c r="AK574" s="43" t="s">
        <v>42</v>
      </c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3" t="s">
        <v>42</v>
      </c>
      <c r="AI575" s="43" t="s">
        <v>42</v>
      </c>
      <c r="AJ575" s="43" t="s">
        <v>42</v>
      </c>
      <c r="AK575" s="43" t="s">
        <v>42</v>
      </c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3" t="s">
        <v>42</v>
      </c>
      <c r="AI576" s="43" t="s">
        <v>42</v>
      </c>
      <c r="AJ576" s="43" t="s">
        <v>42</v>
      </c>
      <c r="AK576" s="43" t="s">
        <v>42</v>
      </c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3" t="s">
        <v>42</v>
      </c>
      <c r="AI577" s="43" t="s">
        <v>42</v>
      </c>
      <c r="AJ577" s="43" t="s">
        <v>42</v>
      </c>
      <c r="AK577" s="43" t="s">
        <v>42</v>
      </c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3" t="s">
        <v>42</v>
      </c>
      <c r="AI578" s="43" t="s">
        <v>42</v>
      </c>
      <c r="AJ578" s="43" t="s">
        <v>42</v>
      </c>
      <c r="AK578" s="43" t="s">
        <v>42</v>
      </c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3" t="s">
        <v>42</v>
      </c>
      <c r="AI579" s="43" t="s">
        <v>42</v>
      </c>
      <c r="AJ579" s="43" t="s">
        <v>42</v>
      </c>
      <c r="AK579" s="43" t="s">
        <v>42</v>
      </c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3" t="s">
        <v>42</v>
      </c>
      <c r="AI580" s="43" t="s">
        <v>42</v>
      </c>
      <c r="AJ580" s="43" t="s">
        <v>42</v>
      </c>
      <c r="AK580" s="43" t="s">
        <v>42</v>
      </c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3" t="s">
        <v>42</v>
      </c>
      <c r="AI581" s="43" t="s">
        <v>42</v>
      </c>
      <c r="AJ581" s="43" t="s">
        <v>42</v>
      </c>
      <c r="AK581" s="43" t="s">
        <v>42</v>
      </c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3" t="s">
        <v>42</v>
      </c>
      <c r="AI582" s="43" t="s">
        <v>42</v>
      </c>
      <c r="AJ582" s="43" t="s">
        <v>42</v>
      </c>
      <c r="AK582" s="43" t="s">
        <v>42</v>
      </c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3" t="s">
        <v>42</v>
      </c>
      <c r="AI583" s="43" t="s">
        <v>42</v>
      </c>
      <c r="AJ583" s="43" t="s">
        <v>42</v>
      </c>
      <c r="AK583" s="43" t="s">
        <v>42</v>
      </c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3" t="s">
        <v>42</v>
      </c>
      <c r="AI584" s="43" t="s">
        <v>42</v>
      </c>
      <c r="AJ584" s="43" t="s">
        <v>42</v>
      </c>
      <c r="AK584" s="43" t="s">
        <v>42</v>
      </c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3" t="s">
        <v>42</v>
      </c>
      <c r="AI585" s="43" t="s">
        <v>42</v>
      </c>
      <c r="AJ585" s="43" t="s">
        <v>42</v>
      </c>
      <c r="AK585" s="43" t="s">
        <v>42</v>
      </c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3" t="s">
        <v>42</v>
      </c>
      <c r="AI586" s="43" t="s">
        <v>42</v>
      </c>
      <c r="AJ586" s="43" t="s">
        <v>42</v>
      </c>
      <c r="AK586" s="43" t="s">
        <v>42</v>
      </c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3" t="s">
        <v>42</v>
      </c>
      <c r="AI587" s="43" t="s">
        <v>42</v>
      </c>
      <c r="AJ587" s="43" t="s">
        <v>42</v>
      </c>
      <c r="AK587" s="43" t="s">
        <v>42</v>
      </c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3" t="s">
        <v>42</v>
      </c>
      <c r="AI588" s="43" t="s">
        <v>42</v>
      </c>
      <c r="AJ588" s="43" t="s">
        <v>42</v>
      </c>
      <c r="AK588" s="43" t="s">
        <v>42</v>
      </c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3" t="s">
        <v>42</v>
      </c>
      <c r="AI589" s="43" t="s">
        <v>42</v>
      </c>
      <c r="AJ589" s="43" t="s">
        <v>42</v>
      </c>
      <c r="AK589" s="43" t="s">
        <v>42</v>
      </c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3" t="s">
        <v>42</v>
      </c>
      <c r="AI590" s="43" t="s">
        <v>42</v>
      </c>
      <c r="AJ590" s="43" t="s">
        <v>42</v>
      </c>
      <c r="AK590" s="43" t="s">
        <v>42</v>
      </c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3" t="s">
        <v>42</v>
      </c>
      <c r="AI591" s="43" t="s">
        <v>42</v>
      </c>
      <c r="AJ591" s="43" t="s">
        <v>42</v>
      </c>
      <c r="AK591" s="43" t="s">
        <v>42</v>
      </c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3" t="s">
        <v>42</v>
      </c>
      <c r="AI592" s="43" t="s">
        <v>42</v>
      </c>
      <c r="AJ592" s="43" t="s">
        <v>42</v>
      </c>
      <c r="AK592" s="43" t="s">
        <v>42</v>
      </c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3" t="s">
        <v>42</v>
      </c>
      <c r="AI593" s="43" t="s">
        <v>42</v>
      </c>
      <c r="AJ593" s="43" t="s">
        <v>42</v>
      </c>
      <c r="AK593" s="43" t="s">
        <v>42</v>
      </c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3" t="s">
        <v>42</v>
      </c>
      <c r="AI594" s="43" t="s">
        <v>42</v>
      </c>
      <c r="AJ594" s="43" t="s">
        <v>42</v>
      </c>
      <c r="AK594" s="43" t="s">
        <v>42</v>
      </c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3" t="s">
        <v>42</v>
      </c>
      <c r="AI595" s="43" t="s">
        <v>42</v>
      </c>
      <c r="AJ595" s="43" t="s">
        <v>42</v>
      </c>
      <c r="AK595" s="43" t="s">
        <v>42</v>
      </c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3" t="s">
        <v>42</v>
      </c>
      <c r="AI596" s="43" t="s">
        <v>42</v>
      </c>
      <c r="AJ596" s="43" t="s">
        <v>42</v>
      </c>
      <c r="AK596" s="43" t="s">
        <v>42</v>
      </c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3" t="s">
        <v>42</v>
      </c>
      <c r="AI597" s="43" t="s">
        <v>42</v>
      </c>
      <c r="AJ597" s="43" t="s">
        <v>42</v>
      </c>
      <c r="AK597" s="43" t="s">
        <v>42</v>
      </c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3" t="s">
        <v>42</v>
      </c>
      <c r="AI598" s="43" t="s">
        <v>42</v>
      </c>
      <c r="AJ598" s="43" t="s">
        <v>42</v>
      </c>
      <c r="AK598" s="43" t="s">
        <v>42</v>
      </c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3" t="s">
        <v>42</v>
      </c>
      <c r="AI599" s="43" t="s">
        <v>42</v>
      </c>
      <c r="AJ599" s="43" t="s">
        <v>42</v>
      </c>
      <c r="AK599" s="43" t="s">
        <v>42</v>
      </c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3" t="s">
        <v>42</v>
      </c>
      <c r="AI600" s="43" t="s">
        <v>42</v>
      </c>
      <c r="AJ600" s="43" t="s">
        <v>42</v>
      </c>
      <c r="AK600" s="43" t="s">
        <v>42</v>
      </c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3" t="s">
        <v>42</v>
      </c>
      <c r="AI601" s="43" t="s">
        <v>42</v>
      </c>
      <c r="AJ601" s="43" t="s">
        <v>42</v>
      </c>
      <c r="AK601" s="43" t="s">
        <v>42</v>
      </c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3" t="s">
        <v>42</v>
      </c>
      <c r="AI602" s="43" t="s">
        <v>42</v>
      </c>
      <c r="AJ602" s="43" t="s">
        <v>42</v>
      </c>
      <c r="AK602" s="43" t="s">
        <v>42</v>
      </c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3" t="s">
        <v>42</v>
      </c>
      <c r="AI603" s="43" t="s">
        <v>42</v>
      </c>
      <c r="AJ603" s="43" t="s">
        <v>42</v>
      </c>
      <c r="AK603" s="43" t="s">
        <v>42</v>
      </c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3" t="s">
        <v>42</v>
      </c>
      <c r="AI604" s="43" t="s">
        <v>42</v>
      </c>
      <c r="AJ604" s="43" t="s">
        <v>42</v>
      </c>
      <c r="AK604" s="43" t="s">
        <v>42</v>
      </c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3" t="s">
        <v>42</v>
      </c>
      <c r="AI605" s="43" t="s">
        <v>42</v>
      </c>
      <c r="AJ605" s="43" t="s">
        <v>42</v>
      </c>
      <c r="AK605" s="43" t="s">
        <v>42</v>
      </c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3" t="s">
        <v>42</v>
      </c>
      <c r="AI606" s="43" t="s">
        <v>42</v>
      </c>
      <c r="AJ606" s="43" t="s">
        <v>42</v>
      </c>
      <c r="AK606" s="43" t="s">
        <v>42</v>
      </c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3" t="s">
        <v>42</v>
      </c>
      <c r="AI607" s="43" t="s">
        <v>42</v>
      </c>
      <c r="AJ607" s="43" t="s">
        <v>42</v>
      </c>
      <c r="AK607" s="43" t="s">
        <v>42</v>
      </c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3" t="s">
        <v>42</v>
      </c>
      <c r="AI608" s="43" t="s">
        <v>42</v>
      </c>
      <c r="AJ608" s="43" t="s">
        <v>42</v>
      </c>
      <c r="AK608" s="43" t="s">
        <v>42</v>
      </c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3" t="s">
        <v>42</v>
      </c>
      <c r="AI609" s="43" t="s">
        <v>42</v>
      </c>
      <c r="AJ609" s="43" t="s">
        <v>42</v>
      </c>
      <c r="AK609" s="43" t="s">
        <v>42</v>
      </c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3" t="s">
        <v>42</v>
      </c>
      <c r="AI610" s="43" t="s">
        <v>42</v>
      </c>
      <c r="AJ610" s="43" t="s">
        <v>42</v>
      </c>
      <c r="AK610" s="43" t="s">
        <v>42</v>
      </c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3" t="s">
        <v>42</v>
      </c>
      <c r="AI611" s="43" t="s">
        <v>42</v>
      </c>
      <c r="AJ611" s="43" t="s">
        <v>42</v>
      </c>
      <c r="AK611" s="43" t="s">
        <v>42</v>
      </c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3" t="s">
        <v>42</v>
      </c>
      <c r="AI612" s="43" t="s">
        <v>42</v>
      </c>
      <c r="AJ612" s="43" t="s">
        <v>42</v>
      </c>
      <c r="AK612" s="43" t="s">
        <v>42</v>
      </c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3" t="s">
        <v>42</v>
      </c>
      <c r="AI613" s="43" t="s">
        <v>42</v>
      </c>
      <c r="AJ613" s="43" t="s">
        <v>42</v>
      </c>
      <c r="AK613" s="43" t="s">
        <v>42</v>
      </c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3" t="s">
        <v>42</v>
      </c>
      <c r="AI614" s="43" t="s">
        <v>42</v>
      </c>
      <c r="AJ614" s="43" t="s">
        <v>42</v>
      </c>
      <c r="AK614" s="43" t="s">
        <v>42</v>
      </c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3" t="s">
        <v>42</v>
      </c>
      <c r="AI615" s="43" t="s">
        <v>42</v>
      </c>
      <c r="AJ615" s="43" t="s">
        <v>42</v>
      </c>
      <c r="AK615" s="43" t="s">
        <v>42</v>
      </c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3" t="s">
        <v>42</v>
      </c>
      <c r="AI616" s="43" t="s">
        <v>42</v>
      </c>
      <c r="AJ616" s="43" t="s">
        <v>42</v>
      </c>
      <c r="AK616" s="43" t="s">
        <v>42</v>
      </c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3" t="s">
        <v>42</v>
      </c>
      <c r="AI617" s="43" t="s">
        <v>42</v>
      </c>
      <c r="AJ617" s="43" t="s">
        <v>42</v>
      </c>
      <c r="AK617" s="43" t="s">
        <v>42</v>
      </c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3" t="s">
        <v>42</v>
      </c>
      <c r="AI618" s="43" t="s">
        <v>42</v>
      </c>
      <c r="AJ618" s="43" t="s">
        <v>42</v>
      </c>
      <c r="AK618" s="43" t="s">
        <v>42</v>
      </c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3" t="s">
        <v>42</v>
      </c>
      <c r="AI619" s="43" t="s">
        <v>42</v>
      </c>
      <c r="AJ619" s="43" t="s">
        <v>42</v>
      </c>
      <c r="AK619" s="43" t="s">
        <v>42</v>
      </c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3" t="s">
        <v>42</v>
      </c>
      <c r="AI620" s="43" t="s">
        <v>42</v>
      </c>
      <c r="AJ620" s="43" t="s">
        <v>42</v>
      </c>
      <c r="AK620" s="43" t="s">
        <v>42</v>
      </c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3" t="s">
        <v>42</v>
      </c>
      <c r="AI621" s="43" t="s">
        <v>42</v>
      </c>
      <c r="AJ621" s="43" t="s">
        <v>42</v>
      </c>
      <c r="AK621" s="43" t="s">
        <v>42</v>
      </c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3" t="s">
        <v>42</v>
      </c>
      <c r="AI622" s="43" t="s">
        <v>42</v>
      </c>
      <c r="AJ622" s="43" t="s">
        <v>42</v>
      </c>
      <c r="AK622" s="43" t="s">
        <v>42</v>
      </c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3" t="s">
        <v>42</v>
      </c>
      <c r="AI623" s="43" t="s">
        <v>42</v>
      </c>
      <c r="AJ623" s="43" t="s">
        <v>42</v>
      </c>
      <c r="AK623" s="43" t="s">
        <v>42</v>
      </c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3" t="s">
        <v>42</v>
      </c>
      <c r="AI624" s="43" t="s">
        <v>42</v>
      </c>
      <c r="AJ624" s="43" t="s">
        <v>42</v>
      </c>
      <c r="AK624" s="43" t="s">
        <v>42</v>
      </c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3" t="s">
        <v>42</v>
      </c>
      <c r="AI625" s="43" t="s">
        <v>42</v>
      </c>
      <c r="AJ625" s="43" t="s">
        <v>42</v>
      </c>
      <c r="AK625" s="43" t="s">
        <v>42</v>
      </c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3" t="s">
        <v>42</v>
      </c>
      <c r="AI626" s="43" t="s">
        <v>42</v>
      </c>
      <c r="AJ626" s="43" t="s">
        <v>42</v>
      </c>
      <c r="AK626" s="43" t="s">
        <v>42</v>
      </c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3" t="s">
        <v>42</v>
      </c>
      <c r="AI627" s="43" t="s">
        <v>42</v>
      </c>
      <c r="AJ627" s="43" t="s">
        <v>42</v>
      </c>
      <c r="AK627" s="43" t="s">
        <v>42</v>
      </c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3" t="s">
        <v>42</v>
      </c>
      <c r="AI628" s="43" t="s">
        <v>42</v>
      </c>
      <c r="AJ628" s="43" t="s">
        <v>42</v>
      </c>
      <c r="AK628" s="43" t="s">
        <v>42</v>
      </c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3" t="s">
        <v>42</v>
      </c>
      <c r="AI629" s="43" t="s">
        <v>42</v>
      </c>
      <c r="AJ629" s="43" t="s">
        <v>42</v>
      </c>
      <c r="AK629" s="43" t="s">
        <v>42</v>
      </c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3" t="s">
        <v>42</v>
      </c>
      <c r="AI630" s="43" t="s">
        <v>42</v>
      </c>
      <c r="AJ630" s="43" t="s">
        <v>42</v>
      </c>
      <c r="AK630" s="43" t="s">
        <v>42</v>
      </c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3" t="s">
        <v>42</v>
      </c>
      <c r="AI631" s="43" t="s">
        <v>42</v>
      </c>
      <c r="AJ631" s="43" t="s">
        <v>42</v>
      </c>
      <c r="AK631" s="43" t="s">
        <v>42</v>
      </c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3" t="s">
        <v>42</v>
      </c>
      <c r="AI632" s="43" t="s">
        <v>42</v>
      </c>
      <c r="AJ632" s="43" t="s">
        <v>42</v>
      </c>
      <c r="AK632" s="43" t="s">
        <v>42</v>
      </c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3" t="s">
        <v>42</v>
      </c>
      <c r="AI633" s="43" t="s">
        <v>42</v>
      </c>
      <c r="AJ633" s="43" t="s">
        <v>42</v>
      </c>
      <c r="AK633" s="43" t="s">
        <v>42</v>
      </c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3" t="s">
        <v>42</v>
      </c>
      <c r="AI634" s="43" t="s">
        <v>42</v>
      </c>
      <c r="AJ634" s="43" t="s">
        <v>42</v>
      </c>
      <c r="AK634" s="43" t="s">
        <v>42</v>
      </c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3" t="s">
        <v>42</v>
      </c>
      <c r="AI635" s="43" t="s">
        <v>42</v>
      </c>
      <c r="AJ635" s="43" t="s">
        <v>42</v>
      </c>
      <c r="AK635" s="43" t="s">
        <v>42</v>
      </c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3" t="s">
        <v>42</v>
      </c>
      <c r="AI636" s="43" t="s">
        <v>42</v>
      </c>
      <c r="AJ636" s="43" t="s">
        <v>42</v>
      </c>
      <c r="AK636" s="43" t="s">
        <v>42</v>
      </c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3" t="s">
        <v>42</v>
      </c>
      <c r="AI637" s="43" t="s">
        <v>42</v>
      </c>
      <c r="AJ637" s="43" t="s">
        <v>42</v>
      </c>
      <c r="AK637" s="43" t="s">
        <v>42</v>
      </c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3" t="s">
        <v>42</v>
      </c>
      <c r="AI638" s="43" t="s">
        <v>42</v>
      </c>
      <c r="AJ638" s="43" t="s">
        <v>42</v>
      </c>
      <c r="AK638" s="43" t="s">
        <v>42</v>
      </c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3" t="s">
        <v>42</v>
      </c>
      <c r="AI639" s="43" t="s">
        <v>42</v>
      </c>
      <c r="AJ639" s="43" t="s">
        <v>42</v>
      </c>
      <c r="AK639" s="43" t="s">
        <v>42</v>
      </c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3" t="s">
        <v>42</v>
      </c>
      <c r="AI640" s="43" t="s">
        <v>42</v>
      </c>
      <c r="AJ640" s="43" t="s">
        <v>42</v>
      </c>
      <c r="AK640" s="43" t="s">
        <v>42</v>
      </c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3" t="s">
        <v>42</v>
      </c>
      <c r="AI641" s="43" t="s">
        <v>42</v>
      </c>
      <c r="AJ641" s="43" t="s">
        <v>42</v>
      </c>
      <c r="AK641" s="43" t="s">
        <v>42</v>
      </c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3" t="s">
        <v>42</v>
      </c>
      <c r="AI642" s="43" t="s">
        <v>42</v>
      </c>
      <c r="AJ642" s="43" t="s">
        <v>42</v>
      </c>
      <c r="AK642" s="43" t="s">
        <v>42</v>
      </c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3" t="s">
        <v>42</v>
      </c>
      <c r="AI643" s="43" t="s">
        <v>42</v>
      </c>
      <c r="AJ643" s="43" t="s">
        <v>42</v>
      </c>
      <c r="AK643" s="43" t="s">
        <v>42</v>
      </c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3" t="s">
        <v>42</v>
      </c>
      <c r="AI644" s="43" t="s">
        <v>42</v>
      </c>
      <c r="AJ644" s="43" t="s">
        <v>42</v>
      </c>
      <c r="AK644" s="43" t="s">
        <v>42</v>
      </c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3" t="s">
        <v>42</v>
      </c>
      <c r="AI645" s="43" t="s">
        <v>42</v>
      </c>
      <c r="AJ645" s="43" t="s">
        <v>42</v>
      </c>
      <c r="AK645" s="43" t="s">
        <v>42</v>
      </c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3" t="s">
        <v>42</v>
      </c>
      <c r="AI646" s="43" t="s">
        <v>42</v>
      </c>
      <c r="AJ646" s="43" t="s">
        <v>42</v>
      </c>
      <c r="AK646" s="43" t="s">
        <v>42</v>
      </c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3" t="s">
        <v>42</v>
      </c>
      <c r="AI647" s="43" t="s">
        <v>42</v>
      </c>
      <c r="AJ647" s="43" t="s">
        <v>42</v>
      </c>
      <c r="AK647" s="43" t="s">
        <v>42</v>
      </c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3" t="s">
        <v>42</v>
      </c>
      <c r="AI648" s="43" t="s">
        <v>42</v>
      </c>
      <c r="AJ648" s="43" t="s">
        <v>42</v>
      </c>
      <c r="AK648" s="43" t="s">
        <v>42</v>
      </c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3" t="s">
        <v>42</v>
      </c>
      <c r="AI649" s="43" t="s">
        <v>42</v>
      </c>
      <c r="AJ649" s="43" t="s">
        <v>42</v>
      </c>
      <c r="AK649" s="43" t="s">
        <v>42</v>
      </c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3" t="s">
        <v>42</v>
      </c>
      <c r="AI650" s="43" t="s">
        <v>42</v>
      </c>
      <c r="AJ650" s="43" t="s">
        <v>42</v>
      </c>
      <c r="AK650" s="43" t="s">
        <v>42</v>
      </c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3" t="s">
        <v>42</v>
      </c>
      <c r="AI651" s="43" t="s">
        <v>42</v>
      </c>
      <c r="AJ651" s="43" t="s">
        <v>42</v>
      </c>
      <c r="AK651" s="43" t="s">
        <v>42</v>
      </c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3" t="s">
        <v>42</v>
      </c>
      <c r="AI652" s="43" t="s">
        <v>42</v>
      </c>
      <c r="AJ652" s="43" t="s">
        <v>42</v>
      </c>
      <c r="AK652" s="43" t="s">
        <v>42</v>
      </c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3" t="s">
        <v>42</v>
      </c>
      <c r="AI653" s="43" t="s">
        <v>42</v>
      </c>
      <c r="AJ653" s="43" t="s">
        <v>42</v>
      </c>
      <c r="AK653" s="43" t="s">
        <v>42</v>
      </c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3" t="s">
        <v>42</v>
      </c>
      <c r="AI654" s="43" t="s">
        <v>42</v>
      </c>
      <c r="AJ654" s="43" t="s">
        <v>42</v>
      </c>
      <c r="AK654" s="43" t="s">
        <v>42</v>
      </c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3" t="s">
        <v>42</v>
      </c>
      <c r="AI655" s="43" t="s">
        <v>42</v>
      </c>
      <c r="AJ655" s="43" t="s">
        <v>42</v>
      </c>
      <c r="AK655" s="43" t="s">
        <v>42</v>
      </c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3" t="s">
        <v>42</v>
      </c>
      <c r="AI656" s="43" t="s">
        <v>42</v>
      </c>
      <c r="AJ656" s="43" t="s">
        <v>42</v>
      </c>
      <c r="AK656" s="43" t="s">
        <v>42</v>
      </c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3" t="s">
        <v>42</v>
      </c>
      <c r="AI657" s="43" t="s">
        <v>42</v>
      </c>
      <c r="AJ657" s="43" t="s">
        <v>42</v>
      </c>
      <c r="AK657" s="43" t="s">
        <v>42</v>
      </c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3" t="s">
        <v>42</v>
      </c>
      <c r="AI658" s="43" t="s">
        <v>42</v>
      </c>
      <c r="AJ658" s="43" t="s">
        <v>42</v>
      </c>
      <c r="AK658" s="43" t="s">
        <v>42</v>
      </c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3" t="s">
        <v>42</v>
      </c>
      <c r="AI659" s="43" t="s">
        <v>42</v>
      </c>
      <c r="AJ659" s="43" t="s">
        <v>42</v>
      </c>
      <c r="AK659" s="43" t="s">
        <v>42</v>
      </c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3" t="s">
        <v>42</v>
      </c>
      <c r="AI660" s="43" t="s">
        <v>42</v>
      </c>
      <c r="AJ660" s="43" t="s">
        <v>42</v>
      </c>
      <c r="AK660" s="43" t="s">
        <v>42</v>
      </c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3" t="s">
        <v>42</v>
      </c>
      <c r="AI661" s="43" t="s">
        <v>42</v>
      </c>
      <c r="AJ661" s="43" t="s">
        <v>42</v>
      </c>
      <c r="AK661" s="43" t="s">
        <v>42</v>
      </c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3" t="s">
        <v>42</v>
      </c>
      <c r="AI662" s="43" t="s">
        <v>42</v>
      </c>
      <c r="AJ662" s="43" t="s">
        <v>42</v>
      </c>
      <c r="AK662" s="43" t="s">
        <v>42</v>
      </c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3" t="s">
        <v>42</v>
      </c>
      <c r="AI663" s="43" t="s">
        <v>42</v>
      </c>
      <c r="AJ663" s="43" t="s">
        <v>42</v>
      </c>
      <c r="AK663" s="43" t="s">
        <v>42</v>
      </c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3" t="s">
        <v>42</v>
      </c>
      <c r="AI664" s="43" t="s">
        <v>42</v>
      </c>
      <c r="AJ664" s="43" t="s">
        <v>42</v>
      </c>
      <c r="AK664" s="43" t="s">
        <v>42</v>
      </c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3" t="s">
        <v>42</v>
      </c>
      <c r="AI665" s="43" t="s">
        <v>42</v>
      </c>
      <c r="AJ665" s="43" t="s">
        <v>42</v>
      </c>
      <c r="AK665" s="43" t="s">
        <v>42</v>
      </c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3" t="s">
        <v>42</v>
      </c>
      <c r="AI666" s="43" t="s">
        <v>42</v>
      </c>
      <c r="AJ666" s="43" t="s">
        <v>42</v>
      </c>
      <c r="AK666" s="43" t="s">
        <v>42</v>
      </c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3" t="s">
        <v>42</v>
      </c>
      <c r="AI667" s="43" t="s">
        <v>42</v>
      </c>
      <c r="AJ667" s="43" t="s">
        <v>42</v>
      </c>
      <c r="AK667" s="43" t="s">
        <v>42</v>
      </c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3" t="s">
        <v>42</v>
      </c>
      <c r="AI668" s="43" t="s">
        <v>42</v>
      </c>
      <c r="AJ668" s="43" t="s">
        <v>42</v>
      </c>
      <c r="AK668" s="43" t="s">
        <v>42</v>
      </c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3" t="s">
        <v>42</v>
      </c>
      <c r="AI669" s="43" t="s">
        <v>42</v>
      </c>
      <c r="AJ669" s="43" t="s">
        <v>42</v>
      </c>
      <c r="AK669" s="43" t="s">
        <v>42</v>
      </c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3" t="s">
        <v>42</v>
      </c>
      <c r="AI670" s="43" t="s">
        <v>42</v>
      </c>
      <c r="AJ670" s="43" t="s">
        <v>42</v>
      </c>
      <c r="AK670" s="43" t="s">
        <v>42</v>
      </c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3" t="s">
        <v>42</v>
      </c>
      <c r="AI671" s="43" t="s">
        <v>42</v>
      </c>
      <c r="AJ671" s="43" t="s">
        <v>42</v>
      </c>
      <c r="AK671" s="43" t="s">
        <v>42</v>
      </c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3" t="s">
        <v>42</v>
      </c>
      <c r="AI672" s="43" t="s">
        <v>42</v>
      </c>
      <c r="AJ672" s="43" t="s">
        <v>42</v>
      </c>
      <c r="AK672" s="43" t="s">
        <v>42</v>
      </c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3" t="s">
        <v>42</v>
      </c>
      <c r="AI673" s="43" t="s">
        <v>42</v>
      </c>
      <c r="AJ673" s="43" t="s">
        <v>42</v>
      </c>
      <c r="AK673" s="43" t="s">
        <v>42</v>
      </c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3" t="s">
        <v>42</v>
      </c>
      <c r="AI674" s="43" t="s">
        <v>42</v>
      </c>
      <c r="AJ674" s="43" t="s">
        <v>42</v>
      </c>
      <c r="AK674" s="43" t="s">
        <v>42</v>
      </c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3" t="s">
        <v>42</v>
      </c>
      <c r="AI675" s="43" t="s">
        <v>42</v>
      </c>
      <c r="AJ675" s="43" t="s">
        <v>42</v>
      </c>
      <c r="AK675" s="43" t="s">
        <v>42</v>
      </c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3" t="s">
        <v>42</v>
      </c>
      <c r="AI676" s="43" t="s">
        <v>42</v>
      </c>
      <c r="AJ676" s="43" t="s">
        <v>42</v>
      </c>
      <c r="AK676" s="43" t="s">
        <v>42</v>
      </c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3" t="s">
        <v>42</v>
      </c>
      <c r="AI677" s="43" t="s">
        <v>42</v>
      </c>
      <c r="AJ677" s="43" t="s">
        <v>42</v>
      </c>
      <c r="AK677" s="43" t="s">
        <v>42</v>
      </c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3" t="s">
        <v>42</v>
      </c>
      <c r="AI678" s="43" t="s">
        <v>42</v>
      </c>
      <c r="AJ678" s="43" t="s">
        <v>42</v>
      </c>
      <c r="AK678" s="43" t="s">
        <v>42</v>
      </c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3" t="s">
        <v>42</v>
      </c>
      <c r="AI679" s="43" t="s">
        <v>42</v>
      </c>
      <c r="AJ679" s="43" t="s">
        <v>42</v>
      </c>
      <c r="AK679" s="43" t="s">
        <v>42</v>
      </c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3" t="s">
        <v>42</v>
      </c>
      <c r="AI680" s="43" t="s">
        <v>42</v>
      </c>
      <c r="AJ680" s="43" t="s">
        <v>42</v>
      </c>
      <c r="AK680" s="43" t="s">
        <v>42</v>
      </c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3" t="s">
        <v>42</v>
      </c>
      <c r="AI681" s="43" t="s">
        <v>42</v>
      </c>
      <c r="AJ681" s="43" t="s">
        <v>42</v>
      </c>
      <c r="AK681" s="43" t="s">
        <v>42</v>
      </c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3" t="s">
        <v>42</v>
      </c>
      <c r="AI682" s="43" t="s">
        <v>42</v>
      </c>
      <c r="AJ682" s="43" t="s">
        <v>42</v>
      </c>
      <c r="AK682" s="43" t="s">
        <v>42</v>
      </c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3" t="s">
        <v>42</v>
      </c>
      <c r="AI683" s="43" t="s">
        <v>42</v>
      </c>
      <c r="AJ683" s="43" t="s">
        <v>42</v>
      </c>
      <c r="AK683" s="43" t="s">
        <v>42</v>
      </c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3" t="s">
        <v>42</v>
      </c>
      <c r="AI684" s="43" t="s">
        <v>42</v>
      </c>
      <c r="AJ684" s="43" t="s">
        <v>42</v>
      </c>
      <c r="AK684" s="43" t="s">
        <v>42</v>
      </c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3" t="s">
        <v>42</v>
      </c>
      <c r="AI685" s="43" t="s">
        <v>42</v>
      </c>
      <c r="AJ685" s="43" t="s">
        <v>42</v>
      </c>
      <c r="AK685" s="43" t="s">
        <v>42</v>
      </c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3" t="s">
        <v>42</v>
      </c>
      <c r="AI686" s="43" t="s">
        <v>42</v>
      </c>
      <c r="AJ686" s="43" t="s">
        <v>42</v>
      </c>
      <c r="AK686" s="43" t="s">
        <v>42</v>
      </c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3" t="s">
        <v>42</v>
      </c>
      <c r="AI687" s="43" t="s">
        <v>42</v>
      </c>
      <c r="AJ687" s="43" t="s">
        <v>42</v>
      </c>
      <c r="AK687" s="43" t="s">
        <v>42</v>
      </c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3" t="s">
        <v>42</v>
      </c>
      <c r="AI688" s="43" t="s">
        <v>42</v>
      </c>
      <c r="AJ688" s="43" t="s">
        <v>42</v>
      </c>
      <c r="AK688" s="43" t="s">
        <v>42</v>
      </c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3" t="s">
        <v>42</v>
      </c>
      <c r="AI689" s="43" t="s">
        <v>42</v>
      </c>
      <c r="AJ689" s="43" t="s">
        <v>42</v>
      </c>
      <c r="AK689" s="43" t="s">
        <v>42</v>
      </c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3" t="s">
        <v>42</v>
      </c>
      <c r="AI690" s="43" t="s">
        <v>42</v>
      </c>
      <c r="AJ690" s="43" t="s">
        <v>42</v>
      </c>
      <c r="AK690" s="43" t="s">
        <v>42</v>
      </c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3" t="s">
        <v>42</v>
      </c>
      <c r="AI691" s="43" t="s">
        <v>42</v>
      </c>
      <c r="AJ691" s="43" t="s">
        <v>42</v>
      </c>
      <c r="AK691" s="43" t="s">
        <v>42</v>
      </c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3" t="s">
        <v>42</v>
      </c>
      <c r="AI692" s="43" t="s">
        <v>42</v>
      </c>
      <c r="AJ692" s="43" t="s">
        <v>42</v>
      </c>
      <c r="AK692" s="43" t="s">
        <v>42</v>
      </c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3" t="s">
        <v>42</v>
      </c>
      <c r="AI693" s="43" t="s">
        <v>42</v>
      </c>
      <c r="AJ693" s="43" t="s">
        <v>42</v>
      </c>
      <c r="AK693" s="43" t="s">
        <v>42</v>
      </c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3" t="s">
        <v>42</v>
      </c>
      <c r="AI694" s="43" t="s">
        <v>42</v>
      </c>
      <c r="AJ694" s="43" t="s">
        <v>42</v>
      </c>
      <c r="AK694" s="43" t="s">
        <v>42</v>
      </c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3" t="s">
        <v>42</v>
      </c>
      <c r="AI695" s="43" t="s">
        <v>42</v>
      </c>
      <c r="AJ695" s="43" t="s">
        <v>42</v>
      </c>
      <c r="AK695" s="43" t="s">
        <v>42</v>
      </c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3" t="s">
        <v>42</v>
      </c>
      <c r="AI696" s="43" t="s">
        <v>42</v>
      </c>
      <c r="AJ696" s="43" t="s">
        <v>42</v>
      </c>
      <c r="AK696" s="43" t="s">
        <v>42</v>
      </c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3" t="s">
        <v>42</v>
      </c>
      <c r="AI697" s="43" t="s">
        <v>42</v>
      </c>
      <c r="AJ697" s="43" t="s">
        <v>42</v>
      </c>
      <c r="AK697" s="43" t="s">
        <v>42</v>
      </c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3" t="s">
        <v>42</v>
      </c>
      <c r="AI698" s="43" t="s">
        <v>42</v>
      </c>
      <c r="AJ698" s="43" t="s">
        <v>42</v>
      </c>
      <c r="AK698" s="43" t="s">
        <v>42</v>
      </c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3" t="s">
        <v>42</v>
      </c>
      <c r="AI699" s="43" t="s">
        <v>42</v>
      </c>
      <c r="AJ699" s="43" t="s">
        <v>42</v>
      </c>
      <c r="AK699" s="43" t="s">
        <v>42</v>
      </c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3" t="s">
        <v>42</v>
      </c>
      <c r="AI700" s="43" t="s">
        <v>42</v>
      </c>
      <c r="AJ700" s="43" t="s">
        <v>42</v>
      </c>
      <c r="AK700" s="43" t="s">
        <v>42</v>
      </c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3" t="s">
        <v>42</v>
      </c>
      <c r="AI701" s="43" t="s">
        <v>42</v>
      </c>
      <c r="AJ701" s="43" t="s">
        <v>42</v>
      </c>
      <c r="AK701" s="43" t="s">
        <v>42</v>
      </c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3" t="s">
        <v>42</v>
      </c>
      <c r="AI702" s="43" t="s">
        <v>42</v>
      </c>
      <c r="AJ702" s="43" t="s">
        <v>42</v>
      </c>
      <c r="AK702" s="43" t="s">
        <v>42</v>
      </c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3" t="s">
        <v>42</v>
      </c>
      <c r="AI703" s="43" t="s">
        <v>42</v>
      </c>
      <c r="AJ703" s="43" t="s">
        <v>42</v>
      </c>
      <c r="AK703" s="43" t="s">
        <v>42</v>
      </c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3" t="s">
        <v>42</v>
      </c>
      <c r="AI704" s="43" t="s">
        <v>42</v>
      </c>
      <c r="AJ704" s="43" t="s">
        <v>42</v>
      </c>
      <c r="AK704" s="43" t="s">
        <v>42</v>
      </c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3" t="s">
        <v>42</v>
      </c>
      <c r="AI705" s="43" t="s">
        <v>42</v>
      </c>
      <c r="AJ705" s="43" t="s">
        <v>42</v>
      </c>
      <c r="AK705" s="43" t="s">
        <v>42</v>
      </c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3" t="s">
        <v>42</v>
      </c>
      <c r="AI706" s="43" t="s">
        <v>42</v>
      </c>
      <c r="AJ706" s="43" t="s">
        <v>42</v>
      </c>
      <c r="AK706" s="43" t="s">
        <v>42</v>
      </c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3" t="s">
        <v>42</v>
      </c>
      <c r="AI707" s="43" t="s">
        <v>42</v>
      </c>
      <c r="AJ707" s="43" t="s">
        <v>42</v>
      </c>
      <c r="AK707" s="43" t="s">
        <v>42</v>
      </c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3" t="s">
        <v>42</v>
      </c>
      <c r="AI708" s="43" t="s">
        <v>42</v>
      </c>
      <c r="AJ708" s="43" t="s">
        <v>42</v>
      </c>
      <c r="AK708" s="43" t="s">
        <v>42</v>
      </c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3" t="s">
        <v>42</v>
      </c>
      <c r="AI709" s="43" t="s">
        <v>42</v>
      </c>
      <c r="AJ709" s="43" t="s">
        <v>42</v>
      </c>
      <c r="AK709" s="43" t="s">
        <v>42</v>
      </c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3" t="s">
        <v>42</v>
      </c>
      <c r="AI710" s="43" t="s">
        <v>42</v>
      </c>
      <c r="AJ710" s="43" t="s">
        <v>42</v>
      </c>
      <c r="AK710" s="43" t="s">
        <v>42</v>
      </c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3" t="s">
        <v>42</v>
      </c>
      <c r="AI711" s="43" t="s">
        <v>42</v>
      </c>
      <c r="AJ711" s="43" t="s">
        <v>42</v>
      </c>
      <c r="AK711" s="43" t="s">
        <v>42</v>
      </c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3" t="s">
        <v>42</v>
      </c>
      <c r="AI712" s="43" t="s">
        <v>42</v>
      </c>
      <c r="AJ712" s="43" t="s">
        <v>42</v>
      </c>
      <c r="AK712" s="43" t="s">
        <v>42</v>
      </c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3" t="s">
        <v>42</v>
      </c>
      <c r="AI713" s="43" t="s">
        <v>42</v>
      </c>
      <c r="AJ713" s="43" t="s">
        <v>42</v>
      </c>
      <c r="AK713" s="43" t="s">
        <v>42</v>
      </c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3" t="s">
        <v>42</v>
      </c>
      <c r="AI714" s="43" t="s">
        <v>42</v>
      </c>
      <c r="AJ714" s="43" t="s">
        <v>42</v>
      </c>
      <c r="AK714" s="43" t="s">
        <v>42</v>
      </c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3" t="s">
        <v>42</v>
      </c>
      <c r="AI715" s="43" t="s">
        <v>42</v>
      </c>
      <c r="AJ715" s="43" t="s">
        <v>42</v>
      </c>
      <c r="AK715" s="43" t="s">
        <v>42</v>
      </c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3" t="s">
        <v>42</v>
      </c>
      <c r="AI716" s="43" t="s">
        <v>42</v>
      </c>
      <c r="AJ716" s="43" t="s">
        <v>42</v>
      </c>
      <c r="AK716" s="43" t="s">
        <v>42</v>
      </c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3" t="s">
        <v>42</v>
      </c>
      <c r="AI717" s="43" t="s">
        <v>42</v>
      </c>
      <c r="AJ717" s="43" t="s">
        <v>42</v>
      </c>
      <c r="AK717" s="43" t="s">
        <v>42</v>
      </c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3" t="s">
        <v>42</v>
      </c>
      <c r="AI718" s="43" t="s">
        <v>42</v>
      </c>
      <c r="AJ718" s="43" t="s">
        <v>42</v>
      </c>
      <c r="AK718" s="43" t="s">
        <v>42</v>
      </c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3" t="s">
        <v>42</v>
      </c>
      <c r="AI719" s="43" t="s">
        <v>42</v>
      </c>
      <c r="AJ719" s="43" t="s">
        <v>42</v>
      </c>
      <c r="AK719" s="43" t="s">
        <v>42</v>
      </c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3" t="s">
        <v>42</v>
      </c>
      <c r="AI720" s="43" t="s">
        <v>42</v>
      </c>
      <c r="AJ720" s="43" t="s">
        <v>42</v>
      </c>
      <c r="AK720" s="43" t="s">
        <v>42</v>
      </c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3" t="s">
        <v>42</v>
      </c>
      <c r="AI721" s="43" t="s">
        <v>42</v>
      </c>
      <c r="AJ721" s="43" t="s">
        <v>42</v>
      </c>
      <c r="AK721" s="43" t="s">
        <v>42</v>
      </c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3" t="s">
        <v>42</v>
      </c>
      <c r="AI722" s="43" t="s">
        <v>42</v>
      </c>
      <c r="AJ722" s="43" t="s">
        <v>42</v>
      </c>
      <c r="AK722" s="43" t="s">
        <v>42</v>
      </c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3" t="s">
        <v>42</v>
      </c>
      <c r="AI723" s="43" t="s">
        <v>42</v>
      </c>
      <c r="AJ723" s="43" t="s">
        <v>42</v>
      </c>
      <c r="AK723" s="43" t="s">
        <v>42</v>
      </c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3" t="s">
        <v>42</v>
      </c>
      <c r="AI724" s="43" t="s">
        <v>42</v>
      </c>
      <c r="AJ724" s="43" t="s">
        <v>42</v>
      </c>
      <c r="AK724" s="43" t="s">
        <v>42</v>
      </c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3" t="s">
        <v>42</v>
      </c>
      <c r="AI725" s="43" t="s">
        <v>42</v>
      </c>
      <c r="AJ725" s="43" t="s">
        <v>42</v>
      </c>
      <c r="AK725" s="43" t="s">
        <v>42</v>
      </c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3" t="s">
        <v>42</v>
      </c>
      <c r="AI726" s="43" t="s">
        <v>42</v>
      </c>
      <c r="AJ726" s="43" t="s">
        <v>42</v>
      </c>
      <c r="AK726" s="43" t="s">
        <v>42</v>
      </c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3" t="s">
        <v>42</v>
      </c>
      <c r="AI727" s="43" t="s">
        <v>42</v>
      </c>
      <c r="AJ727" s="43" t="s">
        <v>42</v>
      </c>
      <c r="AK727" s="43" t="s">
        <v>42</v>
      </c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3" t="s">
        <v>42</v>
      </c>
      <c r="AI728" s="43" t="s">
        <v>42</v>
      </c>
      <c r="AJ728" s="43" t="s">
        <v>42</v>
      </c>
      <c r="AK728" s="43" t="s">
        <v>42</v>
      </c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3" t="s">
        <v>42</v>
      </c>
      <c r="AI729" s="43" t="s">
        <v>42</v>
      </c>
      <c r="AJ729" s="43" t="s">
        <v>42</v>
      </c>
      <c r="AK729" s="43" t="s">
        <v>42</v>
      </c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3" t="s">
        <v>42</v>
      </c>
      <c r="AI730" s="43" t="s">
        <v>42</v>
      </c>
      <c r="AJ730" s="43" t="s">
        <v>42</v>
      </c>
      <c r="AK730" s="43" t="s">
        <v>42</v>
      </c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3" t="s">
        <v>42</v>
      </c>
      <c r="AI731" s="43" t="s">
        <v>42</v>
      </c>
      <c r="AJ731" s="43" t="s">
        <v>42</v>
      </c>
      <c r="AK731" s="43" t="s">
        <v>42</v>
      </c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3" t="s">
        <v>42</v>
      </c>
      <c r="AI732" s="43" t="s">
        <v>42</v>
      </c>
      <c r="AJ732" s="43" t="s">
        <v>42</v>
      </c>
      <c r="AK732" s="43" t="s">
        <v>42</v>
      </c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3" t="s">
        <v>42</v>
      </c>
      <c r="AI733" s="43" t="s">
        <v>42</v>
      </c>
      <c r="AJ733" s="43" t="s">
        <v>42</v>
      </c>
      <c r="AK733" s="43" t="s">
        <v>42</v>
      </c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3" t="s">
        <v>42</v>
      </c>
      <c r="AI734" s="43" t="s">
        <v>42</v>
      </c>
      <c r="AJ734" s="43" t="s">
        <v>42</v>
      </c>
      <c r="AK734" s="43" t="s">
        <v>42</v>
      </c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3" t="s">
        <v>42</v>
      </c>
      <c r="AI735" s="43" t="s">
        <v>42</v>
      </c>
      <c r="AJ735" s="43" t="s">
        <v>42</v>
      </c>
      <c r="AK735" s="43" t="s">
        <v>42</v>
      </c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3" t="s">
        <v>42</v>
      </c>
      <c r="AI736" s="43" t="s">
        <v>42</v>
      </c>
      <c r="AJ736" s="43" t="s">
        <v>42</v>
      </c>
      <c r="AK736" s="43" t="s">
        <v>42</v>
      </c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3" t="s">
        <v>42</v>
      </c>
      <c r="AI737" s="43" t="s">
        <v>42</v>
      </c>
      <c r="AJ737" s="43" t="s">
        <v>42</v>
      </c>
      <c r="AK737" s="43" t="s">
        <v>42</v>
      </c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3" t="s">
        <v>42</v>
      </c>
      <c r="AI738" s="43" t="s">
        <v>42</v>
      </c>
      <c r="AJ738" s="43" t="s">
        <v>42</v>
      </c>
      <c r="AK738" s="43" t="s">
        <v>42</v>
      </c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3" t="s">
        <v>42</v>
      </c>
      <c r="AI739" s="43" t="s">
        <v>42</v>
      </c>
      <c r="AJ739" s="43" t="s">
        <v>42</v>
      </c>
      <c r="AK739" s="43" t="s">
        <v>42</v>
      </c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3" t="s">
        <v>42</v>
      </c>
      <c r="AI740" s="43" t="s">
        <v>42</v>
      </c>
      <c r="AJ740" s="43" t="s">
        <v>42</v>
      </c>
      <c r="AK740" s="43" t="s">
        <v>42</v>
      </c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3" t="s">
        <v>42</v>
      </c>
      <c r="AI741" s="43" t="s">
        <v>42</v>
      </c>
      <c r="AJ741" s="43" t="s">
        <v>42</v>
      </c>
      <c r="AK741" s="43" t="s">
        <v>42</v>
      </c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3" t="s">
        <v>42</v>
      </c>
      <c r="AI742" s="43" t="s">
        <v>42</v>
      </c>
      <c r="AJ742" s="43" t="s">
        <v>42</v>
      </c>
      <c r="AK742" s="43" t="s">
        <v>42</v>
      </c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3" t="s">
        <v>42</v>
      </c>
      <c r="AI743" s="43" t="s">
        <v>42</v>
      </c>
      <c r="AJ743" s="43" t="s">
        <v>42</v>
      </c>
      <c r="AK743" s="43" t="s">
        <v>42</v>
      </c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3" t="s">
        <v>42</v>
      </c>
      <c r="AI744" s="43" t="s">
        <v>42</v>
      </c>
      <c r="AJ744" s="43" t="s">
        <v>42</v>
      </c>
      <c r="AK744" s="43" t="s">
        <v>42</v>
      </c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3" t="s">
        <v>42</v>
      </c>
      <c r="AI745" s="43" t="s">
        <v>42</v>
      </c>
      <c r="AJ745" s="43" t="s">
        <v>42</v>
      </c>
      <c r="AK745" s="43" t="s">
        <v>42</v>
      </c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3" t="s">
        <v>42</v>
      </c>
      <c r="AI746" s="43" t="s">
        <v>42</v>
      </c>
      <c r="AJ746" s="43" t="s">
        <v>42</v>
      </c>
      <c r="AK746" s="43" t="s">
        <v>42</v>
      </c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3" t="s">
        <v>42</v>
      </c>
      <c r="AI747" s="43" t="s">
        <v>42</v>
      </c>
      <c r="AJ747" s="43" t="s">
        <v>42</v>
      </c>
      <c r="AK747" s="43" t="s">
        <v>42</v>
      </c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3" t="s">
        <v>42</v>
      </c>
      <c r="AI748" s="43" t="s">
        <v>42</v>
      </c>
      <c r="AJ748" s="43" t="s">
        <v>42</v>
      </c>
      <c r="AK748" s="43" t="s">
        <v>42</v>
      </c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3" t="s">
        <v>42</v>
      </c>
      <c r="AI749" s="43" t="s">
        <v>42</v>
      </c>
      <c r="AJ749" s="43" t="s">
        <v>42</v>
      </c>
      <c r="AK749" s="43" t="s">
        <v>42</v>
      </c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3" t="s">
        <v>42</v>
      </c>
      <c r="AI750" s="43" t="s">
        <v>42</v>
      </c>
      <c r="AJ750" s="43" t="s">
        <v>42</v>
      </c>
      <c r="AK750" s="43" t="s">
        <v>42</v>
      </c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3" t="s">
        <v>42</v>
      </c>
      <c r="AI751" s="43" t="s">
        <v>42</v>
      </c>
      <c r="AJ751" s="43" t="s">
        <v>42</v>
      </c>
      <c r="AK751" s="43" t="s">
        <v>42</v>
      </c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3" t="s">
        <v>42</v>
      </c>
      <c r="AI752" s="43" t="s">
        <v>42</v>
      </c>
      <c r="AJ752" s="43" t="s">
        <v>42</v>
      </c>
      <c r="AK752" s="43" t="s">
        <v>42</v>
      </c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3" t="s">
        <v>42</v>
      </c>
      <c r="AI753" s="43" t="s">
        <v>42</v>
      </c>
      <c r="AJ753" s="43" t="s">
        <v>42</v>
      </c>
      <c r="AK753" s="43" t="s">
        <v>42</v>
      </c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3" t="s">
        <v>42</v>
      </c>
      <c r="AI754" s="43" t="s">
        <v>42</v>
      </c>
      <c r="AJ754" s="43" t="s">
        <v>42</v>
      </c>
      <c r="AK754" s="43" t="s">
        <v>42</v>
      </c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3" t="s">
        <v>42</v>
      </c>
      <c r="AI755" s="43" t="s">
        <v>42</v>
      </c>
      <c r="AJ755" s="43" t="s">
        <v>42</v>
      </c>
      <c r="AK755" s="43" t="s">
        <v>42</v>
      </c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3" t="s">
        <v>42</v>
      </c>
      <c r="AI756" s="43" t="s">
        <v>42</v>
      </c>
      <c r="AJ756" s="43" t="s">
        <v>42</v>
      </c>
      <c r="AK756" s="43" t="s">
        <v>42</v>
      </c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3" t="s">
        <v>42</v>
      </c>
      <c r="AI757" s="43" t="s">
        <v>42</v>
      </c>
      <c r="AJ757" s="43" t="s">
        <v>42</v>
      </c>
      <c r="AK757" s="43" t="s">
        <v>42</v>
      </c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3" t="s">
        <v>42</v>
      </c>
      <c r="AI758" s="43" t="s">
        <v>42</v>
      </c>
      <c r="AJ758" s="43" t="s">
        <v>42</v>
      </c>
      <c r="AK758" s="43" t="s">
        <v>42</v>
      </c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3" t="s">
        <v>42</v>
      </c>
      <c r="AI759" s="43" t="s">
        <v>42</v>
      </c>
      <c r="AJ759" s="43" t="s">
        <v>42</v>
      </c>
      <c r="AK759" s="43" t="s">
        <v>42</v>
      </c>
    </row>
    <row r="760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3" t="s">
        <v>42</v>
      </c>
      <c r="AI760" s="43" t="s">
        <v>42</v>
      </c>
      <c r="AJ760" s="43" t="s">
        <v>42</v>
      </c>
      <c r="AK760" s="43" t="s">
        <v>42</v>
      </c>
    </row>
    <row r="76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3" t="s">
        <v>42</v>
      </c>
      <c r="AI761" s="43" t="s">
        <v>42</v>
      </c>
      <c r="AJ761" s="43" t="s">
        <v>42</v>
      </c>
      <c r="AK761" s="43" t="s">
        <v>42</v>
      </c>
    </row>
    <row r="762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3" t="s">
        <v>42</v>
      </c>
      <c r="AI762" s="43" t="s">
        <v>42</v>
      </c>
      <c r="AJ762" s="43" t="s">
        <v>42</v>
      </c>
      <c r="AK762" s="43" t="s">
        <v>42</v>
      </c>
    </row>
    <row r="763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3" t="s">
        <v>42</v>
      </c>
      <c r="AI763" s="43" t="s">
        <v>42</v>
      </c>
      <c r="AJ763" s="43" t="s">
        <v>42</v>
      </c>
      <c r="AK763" s="43" t="s">
        <v>42</v>
      </c>
    </row>
    <row r="764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3" t="s">
        <v>42</v>
      </c>
      <c r="AI764" s="43" t="s">
        <v>42</v>
      </c>
      <c r="AJ764" s="43" t="s">
        <v>42</v>
      </c>
      <c r="AK764" s="43" t="s">
        <v>42</v>
      </c>
    </row>
    <row r="765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3" t="s">
        <v>42</v>
      </c>
      <c r="AI765" s="43" t="s">
        <v>42</v>
      </c>
      <c r="AJ765" s="43" t="s">
        <v>42</v>
      </c>
      <c r="AK765" s="43" t="s">
        <v>42</v>
      </c>
    </row>
    <row r="766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3" t="s">
        <v>42</v>
      </c>
      <c r="AI766" s="43" t="s">
        <v>42</v>
      </c>
      <c r="AJ766" s="43" t="s">
        <v>42</v>
      </c>
      <c r="AK766" s="43" t="s">
        <v>42</v>
      </c>
    </row>
    <row r="767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3" t="s">
        <v>42</v>
      </c>
      <c r="AI767" s="43" t="s">
        <v>42</v>
      </c>
      <c r="AJ767" s="43" t="s">
        <v>42</v>
      </c>
      <c r="AK767" s="43" t="s">
        <v>42</v>
      </c>
    </row>
    <row r="768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3" t="s">
        <v>42</v>
      </c>
      <c r="AI768" s="43" t="s">
        <v>42</v>
      </c>
      <c r="AJ768" s="43" t="s">
        <v>42</v>
      </c>
      <c r="AK768" s="43" t="s">
        <v>42</v>
      </c>
    </row>
    <row r="769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3" t="s">
        <v>42</v>
      </c>
      <c r="AI769" s="43" t="s">
        <v>42</v>
      </c>
      <c r="AJ769" s="43" t="s">
        <v>42</v>
      </c>
      <c r="AK769" s="43" t="s">
        <v>42</v>
      </c>
    </row>
    <row r="770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3" t="s">
        <v>42</v>
      </c>
      <c r="AI770" s="43" t="s">
        <v>42</v>
      </c>
      <c r="AJ770" s="43" t="s">
        <v>42</v>
      </c>
      <c r="AK770" s="43" t="s">
        <v>42</v>
      </c>
    </row>
    <row r="77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3" t="s">
        <v>42</v>
      </c>
      <c r="AI771" s="43" t="s">
        <v>42</v>
      </c>
      <c r="AJ771" s="43" t="s">
        <v>42</v>
      </c>
      <c r="AK771" s="43" t="s">
        <v>42</v>
      </c>
    </row>
    <row r="772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3" t="s">
        <v>42</v>
      </c>
      <c r="AI772" s="43" t="s">
        <v>42</v>
      </c>
      <c r="AJ772" s="43" t="s">
        <v>42</v>
      </c>
      <c r="AK772" s="43" t="s">
        <v>42</v>
      </c>
    </row>
    <row r="773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3" t="s">
        <v>42</v>
      </c>
      <c r="AI773" s="43" t="s">
        <v>42</v>
      </c>
      <c r="AJ773" s="43" t="s">
        <v>42</v>
      </c>
      <c r="AK773" s="43" t="s">
        <v>42</v>
      </c>
    </row>
    <row r="774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3" t="s">
        <v>42</v>
      </c>
      <c r="AI774" s="43" t="s">
        <v>42</v>
      </c>
      <c r="AJ774" s="43" t="s">
        <v>42</v>
      </c>
      <c r="AK774" s="43" t="s">
        <v>42</v>
      </c>
    </row>
    <row r="775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3" t="s">
        <v>42</v>
      </c>
      <c r="AI775" s="43" t="s">
        <v>42</v>
      </c>
      <c r="AJ775" s="43" t="s">
        <v>42</v>
      </c>
      <c r="AK775" s="43" t="s">
        <v>42</v>
      </c>
    </row>
    <row r="776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3" t="s">
        <v>42</v>
      </c>
      <c r="AI776" s="43" t="s">
        <v>42</v>
      </c>
      <c r="AJ776" s="43" t="s">
        <v>42</v>
      </c>
      <c r="AK776" s="43" t="s">
        <v>42</v>
      </c>
    </row>
    <row r="777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3" t="s">
        <v>42</v>
      </c>
      <c r="AI777" s="43" t="s">
        <v>42</v>
      </c>
      <c r="AJ777" s="43" t="s">
        <v>42</v>
      </c>
      <c r="AK777" s="43" t="s">
        <v>42</v>
      </c>
    </row>
    <row r="778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3" t="s">
        <v>42</v>
      </c>
      <c r="AI778" s="43" t="s">
        <v>42</v>
      </c>
      <c r="AJ778" s="43" t="s">
        <v>42</v>
      </c>
      <c r="AK778" s="43" t="s">
        <v>42</v>
      </c>
    </row>
    <row r="779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3" t="s">
        <v>42</v>
      </c>
      <c r="AI779" s="43" t="s">
        <v>42</v>
      </c>
      <c r="AJ779" s="43" t="s">
        <v>42</v>
      </c>
      <c r="AK779" s="43" t="s">
        <v>42</v>
      </c>
    </row>
    <row r="780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3" t="s">
        <v>42</v>
      </c>
      <c r="AI780" s="43" t="s">
        <v>42</v>
      </c>
      <c r="AJ780" s="43" t="s">
        <v>42</v>
      </c>
      <c r="AK780" s="43" t="s">
        <v>42</v>
      </c>
    </row>
    <row r="78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3" t="s">
        <v>42</v>
      </c>
      <c r="AI781" s="43" t="s">
        <v>42</v>
      </c>
      <c r="AJ781" s="43" t="s">
        <v>42</v>
      </c>
      <c r="AK781" s="43" t="s">
        <v>42</v>
      </c>
    </row>
    <row r="782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3" t="s">
        <v>42</v>
      </c>
      <c r="AI782" s="43" t="s">
        <v>42</v>
      </c>
      <c r="AJ782" s="43" t="s">
        <v>42</v>
      </c>
      <c r="AK782" s="43" t="s">
        <v>42</v>
      </c>
    </row>
    <row r="783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3" t="s">
        <v>42</v>
      </c>
      <c r="AI783" s="43" t="s">
        <v>42</v>
      </c>
      <c r="AJ783" s="43" t="s">
        <v>42</v>
      </c>
      <c r="AK783" s="43" t="s">
        <v>42</v>
      </c>
    </row>
    <row r="784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3" t="s">
        <v>42</v>
      </c>
      <c r="AI784" s="43" t="s">
        <v>42</v>
      </c>
      <c r="AJ784" s="43" t="s">
        <v>42</v>
      </c>
      <c r="AK784" s="43" t="s">
        <v>42</v>
      </c>
    </row>
    <row r="785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3" t="s">
        <v>42</v>
      </c>
      <c r="AI785" s="43" t="s">
        <v>42</v>
      </c>
      <c r="AJ785" s="43" t="s">
        <v>42</v>
      </c>
      <c r="AK785" s="43" t="s">
        <v>42</v>
      </c>
    </row>
    <row r="786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3" t="s">
        <v>42</v>
      </c>
      <c r="AI786" s="43" t="s">
        <v>42</v>
      </c>
      <c r="AJ786" s="43" t="s">
        <v>42</v>
      </c>
      <c r="AK786" s="43" t="s">
        <v>42</v>
      </c>
    </row>
    <row r="787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3" t="s">
        <v>42</v>
      </c>
      <c r="AI787" s="43" t="s">
        <v>42</v>
      </c>
      <c r="AJ787" s="43" t="s">
        <v>42</v>
      </c>
      <c r="AK787" s="43" t="s">
        <v>42</v>
      </c>
    </row>
    <row r="788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3" t="s">
        <v>42</v>
      </c>
      <c r="AI788" s="43" t="s">
        <v>42</v>
      </c>
      <c r="AJ788" s="43" t="s">
        <v>42</v>
      </c>
      <c r="AK788" s="43" t="s">
        <v>42</v>
      </c>
    </row>
    <row r="789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3" t="s">
        <v>42</v>
      </c>
      <c r="AI789" s="43" t="s">
        <v>42</v>
      </c>
      <c r="AJ789" s="43" t="s">
        <v>42</v>
      </c>
      <c r="AK789" s="43" t="s">
        <v>42</v>
      </c>
    </row>
    <row r="790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3" t="s">
        <v>42</v>
      </c>
      <c r="AI790" s="43" t="s">
        <v>42</v>
      </c>
      <c r="AJ790" s="43" t="s">
        <v>42</v>
      </c>
      <c r="AK790" s="43" t="s">
        <v>42</v>
      </c>
    </row>
    <row r="79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3" t="s">
        <v>42</v>
      </c>
      <c r="AI791" s="43" t="s">
        <v>42</v>
      </c>
      <c r="AJ791" s="43" t="s">
        <v>42</v>
      </c>
      <c r="AK791" s="43" t="s">
        <v>42</v>
      </c>
    </row>
    <row r="792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3" t="s">
        <v>42</v>
      </c>
      <c r="AI792" s="43" t="s">
        <v>42</v>
      </c>
      <c r="AJ792" s="43" t="s">
        <v>42</v>
      </c>
      <c r="AK792" s="43" t="s">
        <v>42</v>
      </c>
    </row>
    <row r="793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3" t="s">
        <v>42</v>
      </c>
      <c r="AI793" s="43" t="s">
        <v>42</v>
      </c>
      <c r="AJ793" s="43" t="s">
        <v>42</v>
      </c>
      <c r="AK793" s="43" t="s">
        <v>42</v>
      </c>
    </row>
    <row r="794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3" t="s">
        <v>42</v>
      </c>
      <c r="AI794" s="43" t="s">
        <v>42</v>
      </c>
      <c r="AJ794" s="43" t="s">
        <v>42</v>
      </c>
      <c r="AK794" s="43" t="s">
        <v>42</v>
      </c>
    </row>
    <row r="795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3" t="s">
        <v>42</v>
      </c>
      <c r="AI795" s="43" t="s">
        <v>42</v>
      </c>
      <c r="AJ795" s="43" t="s">
        <v>42</v>
      </c>
      <c r="AK795" s="43" t="s">
        <v>42</v>
      </c>
    </row>
    <row r="796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3" t="s">
        <v>42</v>
      </c>
      <c r="AI796" s="43" t="s">
        <v>42</v>
      </c>
      <c r="AJ796" s="43" t="s">
        <v>42</v>
      </c>
      <c r="AK796" s="43" t="s">
        <v>42</v>
      </c>
    </row>
    <row r="797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3" t="s">
        <v>42</v>
      </c>
      <c r="AI797" s="43" t="s">
        <v>42</v>
      </c>
      <c r="AJ797" s="43" t="s">
        <v>42</v>
      </c>
      <c r="AK797" s="43" t="s">
        <v>42</v>
      </c>
    </row>
    <row r="798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3" t="s">
        <v>42</v>
      </c>
      <c r="AI798" s="43" t="s">
        <v>42</v>
      </c>
      <c r="AJ798" s="43" t="s">
        <v>42</v>
      </c>
      <c r="AK798" s="43" t="s">
        <v>42</v>
      </c>
    </row>
    <row r="799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3" t="s">
        <v>42</v>
      </c>
      <c r="AI799" s="43" t="s">
        <v>42</v>
      </c>
      <c r="AJ799" s="43" t="s">
        <v>42</v>
      </c>
      <c r="AK799" s="43" t="s">
        <v>42</v>
      </c>
    </row>
    <row r="800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3" t="s">
        <v>42</v>
      </c>
      <c r="AI800" s="43" t="s">
        <v>42</v>
      </c>
      <c r="AJ800" s="43" t="s">
        <v>42</v>
      </c>
      <c r="AK800" s="43" t="s">
        <v>42</v>
      </c>
    </row>
    <row r="80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3" t="s">
        <v>42</v>
      </c>
      <c r="AI801" s="43" t="s">
        <v>42</v>
      </c>
      <c r="AJ801" s="43" t="s">
        <v>42</v>
      </c>
      <c r="AK801" s="43" t="s">
        <v>42</v>
      </c>
    </row>
    <row r="802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3" t="s">
        <v>42</v>
      </c>
      <c r="AI802" s="43" t="s">
        <v>42</v>
      </c>
      <c r="AJ802" s="43" t="s">
        <v>42</v>
      </c>
      <c r="AK802" s="43" t="s">
        <v>42</v>
      </c>
    </row>
    <row r="803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3" t="s">
        <v>42</v>
      </c>
      <c r="AI803" s="43" t="s">
        <v>42</v>
      </c>
      <c r="AJ803" s="43" t="s">
        <v>42</v>
      </c>
      <c r="AK803" s="43" t="s">
        <v>42</v>
      </c>
    </row>
    <row r="804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3" t="s">
        <v>42</v>
      </c>
      <c r="AI804" s="43" t="s">
        <v>42</v>
      </c>
      <c r="AJ804" s="43" t="s">
        <v>42</v>
      </c>
      <c r="AK804" s="43" t="s">
        <v>42</v>
      </c>
    </row>
    <row r="805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3" t="s">
        <v>42</v>
      </c>
      <c r="AI805" s="43" t="s">
        <v>42</v>
      </c>
      <c r="AJ805" s="43" t="s">
        <v>42</v>
      </c>
      <c r="AK805" s="43" t="s">
        <v>42</v>
      </c>
    </row>
    <row r="806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3" t="s">
        <v>42</v>
      </c>
      <c r="AI806" s="43" t="s">
        <v>42</v>
      </c>
      <c r="AJ806" s="43" t="s">
        <v>42</v>
      </c>
      <c r="AK806" s="43" t="s">
        <v>42</v>
      </c>
    </row>
    <row r="807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3" t="s">
        <v>42</v>
      </c>
      <c r="AI807" s="43" t="s">
        <v>42</v>
      </c>
      <c r="AJ807" s="43" t="s">
        <v>42</v>
      </c>
      <c r="AK807" s="43" t="s">
        <v>42</v>
      </c>
    </row>
    <row r="808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3" t="s">
        <v>42</v>
      </c>
      <c r="AI808" s="43" t="s">
        <v>42</v>
      </c>
      <c r="AJ808" s="43" t="s">
        <v>42</v>
      </c>
      <c r="AK808" s="43" t="s">
        <v>42</v>
      </c>
    </row>
    <row r="809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3" t="s">
        <v>42</v>
      </c>
      <c r="AI809" s="43" t="s">
        <v>42</v>
      </c>
      <c r="AJ809" s="43" t="s">
        <v>42</v>
      </c>
      <c r="AK809" s="43" t="s">
        <v>42</v>
      </c>
    </row>
    <row r="810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3" t="s">
        <v>42</v>
      </c>
      <c r="AI810" s="43" t="s">
        <v>42</v>
      </c>
      <c r="AJ810" s="43" t="s">
        <v>42</v>
      </c>
      <c r="AK810" s="43" t="s">
        <v>42</v>
      </c>
    </row>
    <row r="81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3" t="s">
        <v>42</v>
      </c>
      <c r="AI811" s="43" t="s">
        <v>42</v>
      </c>
      <c r="AJ811" s="43" t="s">
        <v>42</v>
      </c>
      <c r="AK811" s="43" t="s">
        <v>42</v>
      </c>
    </row>
    <row r="812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3" t="s">
        <v>42</v>
      </c>
      <c r="AI812" s="43" t="s">
        <v>42</v>
      </c>
      <c r="AJ812" s="43" t="s">
        <v>42</v>
      </c>
      <c r="AK812" s="43" t="s">
        <v>42</v>
      </c>
    </row>
    <row r="813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3" t="s">
        <v>42</v>
      </c>
      <c r="AI813" s="43" t="s">
        <v>42</v>
      </c>
      <c r="AJ813" s="43" t="s">
        <v>42</v>
      </c>
      <c r="AK813" s="43" t="s">
        <v>42</v>
      </c>
    </row>
    <row r="814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3" t="s">
        <v>42</v>
      </c>
      <c r="AI814" s="43" t="s">
        <v>42</v>
      </c>
      <c r="AJ814" s="43" t="s">
        <v>42</v>
      </c>
      <c r="AK814" s="43" t="s">
        <v>42</v>
      </c>
    </row>
    <row r="815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3" t="s">
        <v>42</v>
      </c>
      <c r="AI815" s="43" t="s">
        <v>42</v>
      </c>
      <c r="AJ815" s="43" t="s">
        <v>42</v>
      </c>
      <c r="AK815" s="43" t="s">
        <v>42</v>
      </c>
    </row>
    <row r="816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3" t="s">
        <v>42</v>
      </c>
      <c r="AI816" s="43" t="s">
        <v>42</v>
      </c>
      <c r="AJ816" s="43" t="s">
        <v>42</v>
      </c>
      <c r="AK816" s="43" t="s">
        <v>42</v>
      </c>
    </row>
    <row r="817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3" t="s">
        <v>42</v>
      </c>
      <c r="AI817" s="43" t="s">
        <v>42</v>
      </c>
      <c r="AJ817" s="43" t="s">
        <v>42</v>
      </c>
      <c r="AK817" s="43" t="s">
        <v>42</v>
      </c>
    </row>
    <row r="818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3" t="s">
        <v>42</v>
      </c>
      <c r="AI818" s="43" t="s">
        <v>42</v>
      </c>
      <c r="AJ818" s="43" t="s">
        <v>42</v>
      </c>
      <c r="AK818" s="43" t="s">
        <v>42</v>
      </c>
    </row>
    <row r="819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3" t="s">
        <v>42</v>
      </c>
      <c r="AI819" s="43" t="s">
        <v>42</v>
      </c>
      <c r="AJ819" s="43" t="s">
        <v>42</v>
      </c>
      <c r="AK819" s="43" t="s">
        <v>42</v>
      </c>
    </row>
    <row r="820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3" t="s">
        <v>42</v>
      </c>
      <c r="AI820" s="43" t="s">
        <v>42</v>
      </c>
      <c r="AJ820" s="43" t="s">
        <v>42</v>
      </c>
      <c r="AK820" s="43" t="s">
        <v>42</v>
      </c>
    </row>
    <row r="82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3" t="s">
        <v>42</v>
      </c>
      <c r="AI821" s="43" t="s">
        <v>42</v>
      </c>
      <c r="AJ821" s="43" t="s">
        <v>42</v>
      </c>
      <c r="AK821" s="43" t="s">
        <v>42</v>
      </c>
    </row>
    <row r="822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3" t="s">
        <v>42</v>
      </c>
      <c r="AI822" s="43" t="s">
        <v>42</v>
      </c>
      <c r="AJ822" s="43" t="s">
        <v>42</v>
      </c>
      <c r="AK822" s="43" t="s">
        <v>42</v>
      </c>
    </row>
    <row r="823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3" t="s">
        <v>42</v>
      </c>
      <c r="AI823" s="43" t="s">
        <v>42</v>
      </c>
      <c r="AJ823" s="43" t="s">
        <v>42</v>
      </c>
      <c r="AK823" s="43" t="s">
        <v>42</v>
      </c>
    </row>
    <row r="824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3" t="s">
        <v>42</v>
      </c>
      <c r="AI824" s="43" t="s">
        <v>42</v>
      </c>
      <c r="AJ824" s="43" t="s">
        <v>42</v>
      </c>
      <c r="AK824" s="43" t="s">
        <v>42</v>
      </c>
    </row>
    <row r="825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3" t="s">
        <v>42</v>
      </c>
      <c r="AI825" s="43" t="s">
        <v>42</v>
      </c>
      <c r="AJ825" s="43" t="s">
        <v>42</v>
      </c>
      <c r="AK825" s="43" t="s">
        <v>42</v>
      </c>
    </row>
    <row r="826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3" t="s">
        <v>42</v>
      </c>
      <c r="AI826" s="43" t="s">
        <v>42</v>
      </c>
      <c r="AJ826" s="43" t="s">
        <v>42</v>
      </c>
      <c r="AK826" s="43" t="s">
        <v>42</v>
      </c>
    </row>
    <row r="827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3" t="s">
        <v>42</v>
      </c>
      <c r="AI827" s="43" t="s">
        <v>42</v>
      </c>
      <c r="AJ827" s="43" t="s">
        <v>42</v>
      </c>
      <c r="AK827" s="43" t="s">
        <v>42</v>
      </c>
    </row>
    <row r="828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3" t="s">
        <v>42</v>
      </c>
      <c r="AI828" s="43" t="s">
        <v>42</v>
      </c>
      <c r="AJ828" s="43" t="s">
        <v>42</v>
      </c>
      <c r="AK828" s="43" t="s">
        <v>42</v>
      </c>
    </row>
    <row r="829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3" t="s">
        <v>42</v>
      </c>
      <c r="AI829" s="43" t="s">
        <v>42</v>
      </c>
      <c r="AJ829" s="43" t="s">
        <v>42</v>
      </c>
      <c r="AK829" s="43" t="s">
        <v>42</v>
      </c>
    </row>
    <row r="830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3" t="s">
        <v>42</v>
      </c>
      <c r="AI830" s="43" t="s">
        <v>42</v>
      </c>
      <c r="AJ830" s="43" t="s">
        <v>42</v>
      </c>
      <c r="AK830" s="43" t="s">
        <v>42</v>
      </c>
    </row>
    <row r="83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3" t="s">
        <v>42</v>
      </c>
      <c r="AI831" s="43" t="s">
        <v>42</v>
      </c>
      <c r="AJ831" s="43" t="s">
        <v>42</v>
      </c>
      <c r="AK831" s="43" t="s">
        <v>42</v>
      </c>
    </row>
    <row r="832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3" t="s">
        <v>42</v>
      </c>
      <c r="AI832" s="43" t="s">
        <v>42</v>
      </c>
      <c r="AJ832" s="43" t="s">
        <v>42</v>
      </c>
      <c r="AK832" s="43" t="s">
        <v>42</v>
      </c>
    </row>
    <row r="833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3" t="s">
        <v>42</v>
      </c>
      <c r="AI833" s="43" t="s">
        <v>42</v>
      </c>
      <c r="AJ833" s="43" t="s">
        <v>42</v>
      </c>
      <c r="AK833" s="43" t="s">
        <v>42</v>
      </c>
    </row>
    <row r="834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3" t="s">
        <v>42</v>
      </c>
      <c r="AI834" s="43" t="s">
        <v>42</v>
      </c>
      <c r="AJ834" s="43" t="s">
        <v>42</v>
      </c>
      <c r="AK834" s="43" t="s">
        <v>42</v>
      </c>
    </row>
    <row r="835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3" t="s">
        <v>42</v>
      </c>
      <c r="AI835" s="43" t="s">
        <v>42</v>
      </c>
      <c r="AJ835" s="43" t="s">
        <v>42</v>
      </c>
      <c r="AK835" s="43" t="s">
        <v>42</v>
      </c>
    </row>
    <row r="836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3" t="s">
        <v>42</v>
      </c>
      <c r="AI836" s="43" t="s">
        <v>42</v>
      </c>
      <c r="AJ836" s="43" t="s">
        <v>42</v>
      </c>
      <c r="AK836" s="43" t="s">
        <v>42</v>
      </c>
    </row>
    <row r="837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3" t="s">
        <v>42</v>
      </c>
      <c r="AI837" s="43" t="s">
        <v>42</v>
      </c>
      <c r="AJ837" s="43" t="s">
        <v>42</v>
      </c>
      <c r="AK837" s="43" t="s">
        <v>42</v>
      </c>
    </row>
    <row r="838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3" t="s">
        <v>42</v>
      </c>
      <c r="AI838" s="43" t="s">
        <v>42</v>
      </c>
      <c r="AJ838" s="43" t="s">
        <v>42</v>
      </c>
      <c r="AK838" s="43" t="s">
        <v>42</v>
      </c>
    </row>
    <row r="839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3" t="s">
        <v>42</v>
      </c>
      <c r="AI839" s="43" t="s">
        <v>42</v>
      </c>
      <c r="AJ839" s="43" t="s">
        <v>42</v>
      </c>
      <c r="AK839" s="43" t="s">
        <v>42</v>
      </c>
    </row>
    <row r="840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3" t="s">
        <v>42</v>
      </c>
      <c r="AI840" s="43" t="s">
        <v>42</v>
      </c>
      <c r="AJ840" s="43" t="s">
        <v>42</v>
      </c>
      <c r="AK840" s="43" t="s">
        <v>42</v>
      </c>
    </row>
    <row r="84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3" t="s">
        <v>42</v>
      </c>
      <c r="AI841" s="43" t="s">
        <v>42</v>
      </c>
      <c r="AJ841" s="43" t="s">
        <v>42</v>
      </c>
      <c r="AK841" s="43" t="s">
        <v>42</v>
      </c>
    </row>
    <row r="842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3" t="s">
        <v>42</v>
      </c>
      <c r="AI842" s="43" t="s">
        <v>42</v>
      </c>
      <c r="AJ842" s="43" t="s">
        <v>42</v>
      </c>
      <c r="AK842" s="43" t="s">
        <v>42</v>
      </c>
    </row>
    <row r="843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3" t="s">
        <v>42</v>
      </c>
      <c r="AI843" s="43" t="s">
        <v>42</v>
      </c>
      <c r="AJ843" s="43" t="s">
        <v>42</v>
      </c>
      <c r="AK843" s="43" t="s">
        <v>42</v>
      </c>
    </row>
    <row r="844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3" t="s">
        <v>42</v>
      </c>
      <c r="AI844" s="43" t="s">
        <v>42</v>
      </c>
      <c r="AJ844" s="43" t="s">
        <v>42</v>
      </c>
      <c r="AK844" s="43" t="s">
        <v>42</v>
      </c>
    </row>
    <row r="845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3" t="s">
        <v>42</v>
      </c>
      <c r="AI845" s="43" t="s">
        <v>42</v>
      </c>
      <c r="AJ845" s="43" t="s">
        <v>42</v>
      </c>
      <c r="AK845" s="43" t="s">
        <v>42</v>
      </c>
    </row>
    <row r="846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3" t="s">
        <v>42</v>
      </c>
      <c r="AI846" s="43" t="s">
        <v>42</v>
      </c>
      <c r="AJ846" s="43" t="s">
        <v>42</v>
      </c>
      <c r="AK846" s="43" t="s">
        <v>42</v>
      </c>
    </row>
    <row r="847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3" t="s">
        <v>42</v>
      </c>
      <c r="AI847" s="43" t="s">
        <v>42</v>
      </c>
      <c r="AJ847" s="43" t="s">
        <v>42</v>
      </c>
      <c r="AK847" s="43" t="s">
        <v>42</v>
      </c>
    </row>
    <row r="848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3" t="s">
        <v>42</v>
      </c>
      <c r="AI848" s="43" t="s">
        <v>42</v>
      </c>
      <c r="AJ848" s="43" t="s">
        <v>42</v>
      </c>
      <c r="AK848" s="43" t="s">
        <v>42</v>
      </c>
    </row>
    <row r="849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3" t="s">
        <v>42</v>
      </c>
      <c r="AI849" s="43" t="s">
        <v>42</v>
      </c>
      <c r="AJ849" s="43" t="s">
        <v>42</v>
      </c>
      <c r="AK849" s="43" t="s">
        <v>42</v>
      </c>
    </row>
    <row r="850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3" t="s">
        <v>42</v>
      </c>
      <c r="AI850" s="43" t="s">
        <v>42</v>
      </c>
      <c r="AJ850" s="43" t="s">
        <v>42</v>
      </c>
      <c r="AK850" s="43" t="s">
        <v>42</v>
      </c>
    </row>
    <row r="85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3" t="s">
        <v>42</v>
      </c>
      <c r="AI851" s="43" t="s">
        <v>42</v>
      </c>
      <c r="AJ851" s="43" t="s">
        <v>42</v>
      </c>
      <c r="AK851" s="43" t="s">
        <v>42</v>
      </c>
    </row>
    <row r="852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3" t="s">
        <v>42</v>
      </c>
      <c r="AI852" s="43" t="s">
        <v>42</v>
      </c>
      <c r="AJ852" s="43" t="s">
        <v>42</v>
      </c>
      <c r="AK852" s="43" t="s">
        <v>42</v>
      </c>
    </row>
    <row r="853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3" t="s">
        <v>42</v>
      </c>
      <c r="AI853" s="43" t="s">
        <v>42</v>
      </c>
      <c r="AJ853" s="43" t="s">
        <v>42</v>
      </c>
      <c r="AK853" s="43" t="s">
        <v>42</v>
      </c>
    </row>
    <row r="854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3" t="s">
        <v>42</v>
      </c>
      <c r="AI854" s="43" t="s">
        <v>42</v>
      </c>
      <c r="AJ854" s="43" t="s">
        <v>42</v>
      </c>
      <c r="AK854" s="43" t="s">
        <v>42</v>
      </c>
    </row>
    <row r="855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3" t="s">
        <v>42</v>
      </c>
      <c r="AI855" s="43" t="s">
        <v>42</v>
      </c>
      <c r="AJ855" s="43" t="s">
        <v>42</v>
      </c>
      <c r="AK855" s="43" t="s">
        <v>42</v>
      </c>
    </row>
    <row r="856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3" t="s">
        <v>42</v>
      </c>
      <c r="AI856" s="43" t="s">
        <v>42</v>
      </c>
      <c r="AJ856" s="43" t="s">
        <v>42</v>
      </c>
      <c r="AK856" s="43" t="s">
        <v>42</v>
      </c>
    </row>
    <row r="857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3" t="s">
        <v>42</v>
      </c>
      <c r="AI857" s="43" t="s">
        <v>42</v>
      </c>
      <c r="AJ857" s="43" t="s">
        <v>42</v>
      </c>
      <c r="AK857" s="43" t="s">
        <v>42</v>
      </c>
    </row>
    <row r="858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3" t="s">
        <v>42</v>
      </c>
      <c r="AI858" s="43" t="s">
        <v>42</v>
      </c>
      <c r="AJ858" s="43" t="s">
        <v>42</v>
      </c>
      <c r="AK858" s="43" t="s">
        <v>42</v>
      </c>
    </row>
    <row r="859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3" t="s">
        <v>42</v>
      </c>
      <c r="AI859" s="43" t="s">
        <v>42</v>
      </c>
      <c r="AJ859" s="43" t="s">
        <v>42</v>
      </c>
      <c r="AK859" s="43" t="s">
        <v>42</v>
      </c>
    </row>
    <row r="860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3" t="s">
        <v>42</v>
      </c>
      <c r="AI860" s="43" t="s">
        <v>42</v>
      </c>
      <c r="AJ860" s="43" t="s">
        <v>42</v>
      </c>
      <c r="AK860" s="43" t="s">
        <v>42</v>
      </c>
    </row>
    <row r="86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3" t="s">
        <v>42</v>
      </c>
      <c r="AI861" s="43" t="s">
        <v>42</v>
      </c>
      <c r="AJ861" s="43" t="s">
        <v>42</v>
      </c>
      <c r="AK861" s="43" t="s">
        <v>42</v>
      </c>
    </row>
    <row r="862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3" t="s">
        <v>42</v>
      </c>
      <c r="AI862" s="43" t="s">
        <v>42</v>
      </c>
      <c r="AJ862" s="43" t="s">
        <v>42</v>
      </c>
      <c r="AK862" s="43" t="s">
        <v>42</v>
      </c>
    </row>
    <row r="863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3" t="s">
        <v>42</v>
      </c>
      <c r="AI863" s="43" t="s">
        <v>42</v>
      </c>
      <c r="AJ863" s="43" t="s">
        <v>42</v>
      </c>
      <c r="AK863" s="43" t="s">
        <v>42</v>
      </c>
    </row>
    <row r="864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3" t="s">
        <v>42</v>
      </c>
      <c r="AI864" s="43" t="s">
        <v>42</v>
      </c>
      <c r="AJ864" s="43" t="s">
        <v>42</v>
      </c>
      <c r="AK864" s="43" t="s">
        <v>42</v>
      </c>
    </row>
    <row r="865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3" t="s">
        <v>42</v>
      </c>
      <c r="AI865" s="43" t="s">
        <v>42</v>
      </c>
      <c r="AJ865" s="43" t="s">
        <v>42</v>
      </c>
      <c r="AK865" s="43" t="s">
        <v>42</v>
      </c>
    </row>
    <row r="866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3" t="s">
        <v>42</v>
      </c>
      <c r="AI866" s="43" t="s">
        <v>42</v>
      </c>
      <c r="AJ866" s="43" t="s">
        <v>42</v>
      </c>
      <c r="AK866" s="43" t="s">
        <v>42</v>
      </c>
    </row>
    <row r="867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3" t="s">
        <v>42</v>
      </c>
      <c r="AI867" s="43" t="s">
        <v>42</v>
      </c>
      <c r="AJ867" s="43" t="s">
        <v>42</v>
      </c>
      <c r="AK867" s="43" t="s">
        <v>42</v>
      </c>
    </row>
    <row r="868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3" t="s">
        <v>42</v>
      </c>
      <c r="AI868" s="43" t="s">
        <v>42</v>
      </c>
      <c r="AJ868" s="43" t="s">
        <v>42</v>
      </c>
      <c r="AK868" s="43" t="s">
        <v>42</v>
      </c>
    </row>
    <row r="869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3" t="s">
        <v>42</v>
      </c>
      <c r="AI869" s="43" t="s">
        <v>42</v>
      </c>
      <c r="AJ869" s="43" t="s">
        <v>42</v>
      </c>
      <c r="AK869" s="43" t="s">
        <v>42</v>
      </c>
    </row>
    <row r="870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3" t="s">
        <v>42</v>
      </c>
      <c r="AI870" s="43" t="s">
        <v>42</v>
      </c>
      <c r="AJ870" s="43" t="s">
        <v>42</v>
      </c>
      <c r="AK870" s="43" t="s">
        <v>42</v>
      </c>
    </row>
    <row r="87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3" t="s">
        <v>42</v>
      </c>
      <c r="AI871" s="43" t="s">
        <v>42</v>
      </c>
      <c r="AJ871" s="43" t="s">
        <v>42</v>
      </c>
      <c r="AK871" s="43" t="s">
        <v>42</v>
      </c>
    </row>
    <row r="872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3" t="s">
        <v>42</v>
      </c>
      <c r="AI872" s="43" t="s">
        <v>42</v>
      </c>
      <c r="AJ872" s="43" t="s">
        <v>42</v>
      </c>
      <c r="AK872" s="43" t="s">
        <v>42</v>
      </c>
    </row>
    <row r="873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3" t="s">
        <v>42</v>
      </c>
      <c r="AI873" s="43" t="s">
        <v>42</v>
      </c>
      <c r="AJ873" s="43" t="s">
        <v>42</v>
      </c>
      <c r="AK873" s="43" t="s">
        <v>42</v>
      </c>
    </row>
    <row r="874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3" t="s">
        <v>42</v>
      </c>
      <c r="AI874" s="43" t="s">
        <v>42</v>
      </c>
      <c r="AJ874" s="43" t="s">
        <v>42</v>
      </c>
      <c r="AK874" s="43" t="s">
        <v>42</v>
      </c>
    </row>
    <row r="875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3" t="s">
        <v>42</v>
      </c>
      <c r="AI875" s="43" t="s">
        <v>42</v>
      </c>
      <c r="AJ875" s="43" t="s">
        <v>42</v>
      </c>
      <c r="AK875" s="43" t="s">
        <v>42</v>
      </c>
    </row>
    <row r="876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3" t="s">
        <v>42</v>
      </c>
      <c r="AI876" s="43" t="s">
        <v>42</v>
      </c>
      <c r="AJ876" s="43" t="s">
        <v>42</v>
      </c>
      <c r="AK876" s="43" t="s">
        <v>42</v>
      </c>
    </row>
    <row r="877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3" t="s">
        <v>42</v>
      </c>
      <c r="AI877" s="43" t="s">
        <v>42</v>
      </c>
      <c r="AJ877" s="43" t="s">
        <v>42</v>
      </c>
      <c r="AK877" s="43" t="s">
        <v>42</v>
      </c>
    </row>
    <row r="878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3" t="s">
        <v>42</v>
      </c>
      <c r="AI878" s="43" t="s">
        <v>42</v>
      </c>
      <c r="AJ878" s="43" t="s">
        <v>42</v>
      </c>
      <c r="AK878" s="43" t="s">
        <v>42</v>
      </c>
    </row>
    <row r="879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3" t="s">
        <v>42</v>
      </c>
      <c r="AI879" s="43" t="s">
        <v>42</v>
      </c>
      <c r="AJ879" s="43" t="s">
        <v>42</v>
      </c>
      <c r="AK879" s="43" t="s">
        <v>42</v>
      </c>
    </row>
    <row r="880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3" t="s">
        <v>42</v>
      </c>
      <c r="AI880" s="43" t="s">
        <v>42</v>
      </c>
      <c r="AJ880" s="43" t="s">
        <v>42</v>
      </c>
      <c r="AK880" s="43" t="s">
        <v>42</v>
      </c>
    </row>
    <row r="88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3" t="s">
        <v>42</v>
      </c>
      <c r="AI881" s="43" t="s">
        <v>42</v>
      </c>
      <c r="AJ881" s="43" t="s">
        <v>42</v>
      </c>
      <c r="AK881" s="43" t="s">
        <v>42</v>
      </c>
    </row>
    <row r="882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3" t="s">
        <v>42</v>
      </c>
      <c r="AI882" s="43" t="s">
        <v>42</v>
      </c>
      <c r="AJ882" s="43" t="s">
        <v>42</v>
      </c>
      <c r="AK882" s="43" t="s">
        <v>42</v>
      </c>
    </row>
    <row r="883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3" t="s">
        <v>42</v>
      </c>
      <c r="AI883" s="43" t="s">
        <v>42</v>
      </c>
      <c r="AJ883" s="43" t="s">
        <v>42</v>
      </c>
      <c r="AK883" s="43" t="s">
        <v>42</v>
      </c>
    </row>
    <row r="884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3" t="s">
        <v>42</v>
      </c>
      <c r="AI884" s="43" t="s">
        <v>42</v>
      </c>
      <c r="AJ884" s="43" t="s">
        <v>42</v>
      </c>
      <c r="AK884" s="43" t="s">
        <v>42</v>
      </c>
    </row>
    <row r="885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3" t="s">
        <v>42</v>
      </c>
      <c r="AI885" s="43" t="s">
        <v>42</v>
      </c>
      <c r="AJ885" s="43" t="s">
        <v>42</v>
      </c>
      <c r="AK885" s="43" t="s">
        <v>42</v>
      </c>
    </row>
    <row r="886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3" t="s">
        <v>42</v>
      </c>
      <c r="AI886" s="43" t="s">
        <v>42</v>
      </c>
      <c r="AJ886" s="43" t="s">
        <v>42</v>
      </c>
      <c r="AK886" s="43" t="s">
        <v>42</v>
      </c>
    </row>
    <row r="887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3" t="s">
        <v>42</v>
      </c>
      <c r="AI887" s="43" t="s">
        <v>42</v>
      </c>
      <c r="AJ887" s="43" t="s">
        <v>42</v>
      </c>
      <c r="AK887" s="43" t="s">
        <v>42</v>
      </c>
    </row>
    <row r="888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3" t="s">
        <v>42</v>
      </c>
      <c r="AI888" s="43" t="s">
        <v>42</v>
      </c>
      <c r="AJ888" s="43" t="s">
        <v>42</v>
      </c>
      <c r="AK888" s="43" t="s">
        <v>42</v>
      </c>
    </row>
    <row r="889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3" t="s">
        <v>42</v>
      </c>
      <c r="AI889" s="43" t="s">
        <v>42</v>
      </c>
      <c r="AJ889" s="43" t="s">
        <v>42</v>
      </c>
      <c r="AK889" s="43" t="s">
        <v>42</v>
      </c>
    </row>
    <row r="890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3" t="s">
        <v>42</v>
      </c>
      <c r="AI890" s="43" t="s">
        <v>42</v>
      </c>
      <c r="AJ890" s="43" t="s">
        <v>42</v>
      </c>
      <c r="AK890" s="43" t="s">
        <v>42</v>
      </c>
    </row>
    <row r="89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3" t="s">
        <v>42</v>
      </c>
      <c r="AI891" s="43" t="s">
        <v>42</v>
      </c>
      <c r="AJ891" s="43" t="s">
        <v>42</v>
      </c>
      <c r="AK891" s="43" t="s">
        <v>42</v>
      </c>
    </row>
    <row r="892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3" t="s">
        <v>42</v>
      </c>
      <c r="AI892" s="43" t="s">
        <v>42</v>
      </c>
      <c r="AJ892" s="43" t="s">
        <v>42</v>
      </c>
      <c r="AK892" s="43" t="s">
        <v>42</v>
      </c>
    </row>
    <row r="893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3" t="s">
        <v>42</v>
      </c>
      <c r="AI893" s="43" t="s">
        <v>42</v>
      </c>
      <c r="AJ893" s="43" t="s">
        <v>42</v>
      </c>
      <c r="AK893" s="43" t="s">
        <v>42</v>
      </c>
    </row>
    <row r="894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3" t="s">
        <v>42</v>
      </c>
      <c r="AI894" s="43" t="s">
        <v>42</v>
      </c>
      <c r="AJ894" s="43" t="s">
        <v>42</v>
      </c>
      <c r="AK894" s="43" t="s">
        <v>42</v>
      </c>
    </row>
    <row r="895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3" t="s">
        <v>42</v>
      </c>
      <c r="AI895" s="43" t="s">
        <v>42</v>
      </c>
      <c r="AJ895" s="43" t="s">
        <v>42</v>
      </c>
      <c r="AK895" s="43" t="s">
        <v>42</v>
      </c>
    </row>
    <row r="896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3" t="s">
        <v>42</v>
      </c>
      <c r="AI896" s="43" t="s">
        <v>42</v>
      </c>
      <c r="AJ896" s="43" t="s">
        <v>42</v>
      </c>
      <c r="AK896" s="43" t="s">
        <v>42</v>
      </c>
    </row>
    <row r="897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3" t="s">
        <v>42</v>
      </c>
      <c r="AI897" s="43" t="s">
        <v>42</v>
      </c>
      <c r="AJ897" s="43" t="s">
        <v>42</v>
      </c>
      <c r="AK897" s="43" t="s">
        <v>42</v>
      </c>
    </row>
    <row r="898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3" t="s">
        <v>42</v>
      </c>
      <c r="AI898" s="43" t="s">
        <v>42</v>
      </c>
      <c r="AJ898" s="43" t="s">
        <v>42</v>
      </c>
      <c r="AK898" s="43" t="s">
        <v>42</v>
      </c>
    </row>
    <row r="899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3" t="s">
        <v>42</v>
      </c>
      <c r="AI899" s="43" t="s">
        <v>42</v>
      </c>
      <c r="AJ899" s="43" t="s">
        <v>42</v>
      </c>
      <c r="AK899" s="43" t="s">
        <v>42</v>
      </c>
    </row>
    <row r="900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3" t="s">
        <v>42</v>
      </c>
      <c r="AI900" s="43" t="s">
        <v>42</v>
      </c>
      <c r="AJ900" s="43" t="s">
        <v>42</v>
      </c>
      <c r="AK900" s="43" t="s">
        <v>42</v>
      </c>
    </row>
    <row r="90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3" t="s">
        <v>42</v>
      </c>
      <c r="AI901" s="43" t="s">
        <v>42</v>
      </c>
      <c r="AJ901" s="43" t="s">
        <v>42</v>
      </c>
      <c r="AK901" s="43" t="s">
        <v>42</v>
      </c>
    </row>
    <row r="902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3" t="s">
        <v>42</v>
      </c>
      <c r="AI902" s="43" t="s">
        <v>42</v>
      </c>
      <c r="AJ902" s="43" t="s">
        <v>42</v>
      </c>
      <c r="AK902" s="43" t="s">
        <v>42</v>
      </c>
    </row>
    <row r="903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3" t="s">
        <v>42</v>
      </c>
      <c r="AI903" s="43" t="s">
        <v>42</v>
      </c>
      <c r="AJ903" s="43" t="s">
        <v>42</v>
      </c>
      <c r="AK903" s="43" t="s">
        <v>42</v>
      </c>
    </row>
    <row r="904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3" t="s">
        <v>42</v>
      </c>
      <c r="AI904" s="43" t="s">
        <v>42</v>
      </c>
      <c r="AJ904" s="43" t="s">
        <v>42</v>
      </c>
      <c r="AK904" s="43" t="s">
        <v>42</v>
      </c>
    </row>
    <row r="905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3" t="s">
        <v>42</v>
      </c>
      <c r="AI905" s="43" t="s">
        <v>42</v>
      </c>
      <c r="AJ905" s="43" t="s">
        <v>42</v>
      </c>
      <c r="AK905" s="43" t="s">
        <v>42</v>
      </c>
    </row>
    <row r="906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3" t="s">
        <v>42</v>
      </c>
      <c r="AI906" s="43" t="s">
        <v>42</v>
      </c>
      <c r="AJ906" s="43" t="s">
        <v>42</v>
      </c>
      <c r="AK906" s="43" t="s">
        <v>42</v>
      </c>
    </row>
    <row r="907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3" t="s">
        <v>42</v>
      </c>
      <c r="AI907" s="43" t="s">
        <v>42</v>
      </c>
      <c r="AJ907" s="43" t="s">
        <v>42</v>
      </c>
      <c r="AK907" s="43" t="s">
        <v>42</v>
      </c>
    </row>
    <row r="908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3" t="s">
        <v>42</v>
      </c>
      <c r="AI908" s="43" t="s">
        <v>42</v>
      </c>
      <c r="AJ908" s="43" t="s">
        <v>42</v>
      </c>
      <c r="AK908" s="43" t="s">
        <v>42</v>
      </c>
    </row>
    <row r="909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3" t="s">
        <v>42</v>
      </c>
      <c r="AI909" s="43" t="s">
        <v>42</v>
      </c>
      <c r="AJ909" s="43" t="s">
        <v>42</v>
      </c>
      <c r="AK909" s="43" t="s">
        <v>42</v>
      </c>
    </row>
    <row r="910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3" t="s">
        <v>42</v>
      </c>
      <c r="AI910" s="43" t="s">
        <v>42</v>
      </c>
      <c r="AJ910" s="43" t="s">
        <v>42</v>
      </c>
      <c r="AK910" s="43" t="s">
        <v>42</v>
      </c>
    </row>
    <row r="91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3" t="s">
        <v>42</v>
      </c>
      <c r="AI911" s="43" t="s">
        <v>42</v>
      </c>
      <c r="AJ911" s="43" t="s">
        <v>42</v>
      </c>
      <c r="AK911" s="43" t="s">
        <v>42</v>
      </c>
    </row>
    <row r="912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3" t="s">
        <v>42</v>
      </c>
      <c r="AI912" s="43" t="s">
        <v>42</v>
      </c>
      <c r="AJ912" s="43" t="s">
        <v>42</v>
      </c>
      <c r="AK912" s="43" t="s">
        <v>42</v>
      </c>
    </row>
    <row r="913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3" t="s">
        <v>42</v>
      </c>
      <c r="AI913" s="43" t="s">
        <v>42</v>
      </c>
      <c r="AJ913" s="43" t="s">
        <v>42</v>
      </c>
      <c r="AK913" s="43" t="s">
        <v>42</v>
      </c>
    </row>
    <row r="914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3" t="s">
        <v>42</v>
      </c>
      <c r="AI914" s="43" t="s">
        <v>42</v>
      </c>
      <c r="AJ914" s="43" t="s">
        <v>42</v>
      </c>
      <c r="AK914" s="43" t="s">
        <v>42</v>
      </c>
    </row>
    <row r="915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3" t="s">
        <v>42</v>
      </c>
      <c r="AI915" s="43" t="s">
        <v>42</v>
      </c>
      <c r="AJ915" s="43" t="s">
        <v>42</v>
      </c>
      <c r="AK915" s="43" t="s">
        <v>42</v>
      </c>
    </row>
    <row r="916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3" t="s">
        <v>42</v>
      </c>
      <c r="AI916" s="43" t="s">
        <v>42</v>
      </c>
      <c r="AJ916" s="43" t="s">
        <v>42</v>
      </c>
      <c r="AK916" s="43" t="s">
        <v>42</v>
      </c>
    </row>
    <row r="917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3" t="s">
        <v>42</v>
      </c>
      <c r="AI917" s="43" t="s">
        <v>42</v>
      </c>
      <c r="AJ917" s="43" t="s">
        <v>42</v>
      </c>
      <c r="AK917" s="43" t="s">
        <v>42</v>
      </c>
    </row>
    <row r="918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3" t="s">
        <v>42</v>
      </c>
      <c r="AI918" s="43" t="s">
        <v>42</v>
      </c>
      <c r="AJ918" s="43" t="s">
        <v>42</v>
      </c>
      <c r="AK918" s="43" t="s">
        <v>42</v>
      </c>
    </row>
    <row r="919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3" t="s">
        <v>42</v>
      </c>
      <c r="AI919" s="43" t="s">
        <v>42</v>
      </c>
      <c r="AJ919" s="43" t="s">
        <v>42</v>
      </c>
      <c r="AK919" s="43" t="s">
        <v>42</v>
      </c>
    </row>
    <row r="920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3" t="s">
        <v>42</v>
      </c>
      <c r="AI920" s="43" t="s">
        <v>42</v>
      </c>
      <c r="AJ920" s="43" t="s">
        <v>42</v>
      </c>
      <c r="AK920" s="43" t="s">
        <v>42</v>
      </c>
    </row>
    <row r="92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3" t="s">
        <v>42</v>
      </c>
      <c r="AI921" s="43" t="s">
        <v>42</v>
      </c>
      <c r="AJ921" s="43" t="s">
        <v>42</v>
      </c>
      <c r="AK921" s="43" t="s">
        <v>42</v>
      </c>
    </row>
    <row r="922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3" t="s">
        <v>42</v>
      </c>
      <c r="AI922" s="43" t="s">
        <v>42</v>
      </c>
      <c r="AJ922" s="43" t="s">
        <v>42</v>
      </c>
      <c r="AK922" s="43" t="s">
        <v>42</v>
      </c>
    </row>
    <row r="923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3" t="s">
        <v>42</v>
      </c>
      <c r="AI923" s="43" t="s">
        <v>42</v>
      </c>
      <c r="AJ923" s="43" t="s">
        <v>42</v>
      </c>
      <c r="AK923" s="43" t="s">
        <v>42</v>
      </c>
    </row>
    <row r="924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3" t="s">
        <v>42</v>
      </c>
      <c r="AI924" s="43" t="s">
        <v>42</v>
      </c>
      <c r="AJ924" s="43" t="s">
        <v>42</v>
      </c>
      <c r="AK924" s="43" t="s">
        <v>42</v>
      </c>
    </row>
    <row r="925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3" t="s">
        <v>42</v>
      </c>
      <c r="AI925" s="43" t="s">
        <v>42</v>
      </c>
      <c r="AJ925" s="43" t="s">
        <v>42</v>
      </c>
      <c r="AK925" s="43" t="s">
        <v>42</v>
      </c>
    </row>
    <row r="926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3" t="s">
        <v>42</v>
      </c>
      <c r="AI926" s="43" t="s">
        <v>42</v>
      </c>
      <c r="AJ926" s="43" t="s">
        <v>42</v>
      </c>
      <c r="AK926" s="43" t="s">
        <v>42</v>
      </c>
    </row>
    <row r="927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3" t="s">
        <v>42</v>
      </c>
      <c r="AI927" s="43" t="s">
        <v>42</v>
      </c>
      <c r="AJ927" s="43" t="s">
        <v>42</v>
      </c>
      <c r="AK927" s="43" t="s">
        <v>42</v>
      </c>
    </row>
    <row r="928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3" t="s">
        <v>42</v>
      </c>
      <c r="AI928" s="43" t="s">
        <v>42</v>
      </c>
      <c r="AJ928" s="43" t="s">
        <v>42</v>
      </c>
      <c r="AK928" s="43" t="s">
        <v>42</v>
      </c>
    </row>
    <row r="929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3" t="s">
        <v>42</v>
      </c>
      <c r="AI929" s="43" t="s">
        <v>42</v>
      </c>
      <c r="AJ929" s="43" t="s">
        <v>42</v>
      </c>
      <c r="AK929" s="43" t="s">
        <v>42</v>
      </c>
    </row>
    <row r="930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3" t="s">
        <v>42</v>
      </c>
      <c r="AI930" s="43" t="s">
        <v>42</v>
      </c>
      <c r="AJ930" s="43" t="s">
        <v>42</v>
      </c>
      <c r="AK930" s="43" t="s">
        <v>42</v>
      </c>
    </row>
    <row r="93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3" t="s">
        <v>42</v>
      </c>
      <c r="AI931" s="43" t="s">
        <v>42</v>
      </c>
      <c r="AJ931" s="43" t="s">
        <v>42</v>
      </c>
      <c r="AK931" s="43" t="s">
        <v>42</v>
      </c>
    </row>
    <row r="932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3" t="s">
        <v>42</v>
      </c>
      <c r="AI932" s="43" t="s">
        <v>42</v>
      </c>
      <c r="AJ932" s="43" t="s">
        <v>42</v>
      </c>
      <c r="AK932" s="43" t="s">
        <v>42</v>
      </c>
    </row>
    <row r="933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3" t="s">
        <v>42</v>
      </c>
      <c r="AI933" s="43" t="s">
        <v>42</v>
      </c>
      <c r="AJ933" s="43" t="s">
        <v>42</v>
      </c>
      <c r="AK933" s="43" t="s">
        <v>42</v>
      </c>
    </row>
    <row r="934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3" t="s">
        <v>42</v>
      </c>
      <c r="AI934" s="43" t="s">
        <v>42</v>
      </c>
      <c r="AJ934" s="43" t="s">
        <v>42</v>
      </c>
      <c r="AK934" s="43" t="s">
        <v>42</v>
      </c>
    </row>
    <row r="935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3" t="s">
        <v>42</v>
      </c>
      <c r="AI935" s="43" t="s">
        <v>42</v>
      </c>
      <c r="AJ935" s="43" t="s">
        <v>42</v>
      </c>
      <c r="AK935" s="43" t="s">
        <v>42</v>
      </c>
    </row>
    <row r="936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3" t="s">
        <v>42</v>
      </c>
      <c r="AI936" s="43" t="s">
        <v>42</v>
      </c>
      <c r="AJ936" s="43" t="s">
        <v>42</v>
      </c>
      <c r="AK936" s="43" t="s">
        <v>42</v>
      </c>
    </row>
    <row r="937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3" t="s">
        <v>42</v>
      </c>
      <c r="AI937" s="43" t="s">
        <v>42</v>
      </c>
      <c r="AJ937" s="43" t="s">
        <v>42</v>
      </c>
      <c r="AK937" s="43" t="s">
        <v>42</v>
      </c>
    </row>
    <row r="938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3" t="s">
        <v>42</v>
      </c>
      <c r="AI938" s="43" t="s">
        <v>42</v>
      </c>
      <c r="AJ938" s="43" t="s">
        <v>42</v>
      </c>
      <c r="AK938" s="43" t="s">
        <v>42</v>
      </c>
    </row>
    <row r="939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3" t="s">
        <v>42</v>
      </c>
      <c r="AI939" s="43" t="s">
        <v>42</v>
      </c>
      <c r="AJ939" s="43" t="s">
        <v>42</v>
      </c>
      <c r="AK939" s="43" t="s">
        <v>42</v>
      </c>
    </row>
    <row r="940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3" t="s">
        <v>42</v>
      </c>
      <c r="AI940" s="43" t="s">
        <v>42</v>
      </c>
      <c r="AJ940" s="43" t="s">
        <v>42</v>
      </c>
      <c r="AK940" s="43" t="s">
        <v>42</v>
      </c>
    </row>
    <row r="94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3" t="s">
        <v>42</v>
      </c>
      <c r="AI941" s="43" t="s">
        <v>42</v>
      </c>
      <c r="AJ941" s="43" t="s">
        <v>42</v>
      </c>
      <c r="AK941" s="43" t="s">
        <v>42</v>
      </c>
    </row>
    <row r="942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3" t="s">
        <v>42</v>
      </c>
      <c r="AI942" s="43" t="s">
        <v>42</v>
      </c>
      <c r="AJ942" s="43" t="s">
        <v>42</v>
      </c>
      <c r="AK942" s="43" t="s">
        <v>42</v>
      </c>
    </row>
    <row r="943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3" t="s">
        <v>42</v>
      </c>
      <c r="AI943" s="43" t="s">
        <v>42</v>
      </c>
      <c r="AJ943" s="43" t="s">
        <v>42</v>
      </c>
      <c r="AK943" s="43" t="s">
        <v>42</v>
      </c>
    </row>
    <row r="944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3" t="s">
        <v>42</v>
      </c>
      <c r="AI944" s="43" t="s">
        <v>42</v>
      </c>
      <c r="AJ944" s="43" t="s">
        <v>42</v>
      </c>
      <c r="AK944" s="43" t="s">
        <v>42</v>
      </c>
    </row>
    <row r="945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3" t="s">
        <v>42</v>
      </c>
      <c r="AI945" s="43" t="s">
        <v>42</v>
      </c>
      <c r="AJ945" s="43" t="s">
        <v>42</v>
      </c>
      <c r="AK945" s="43" t="s">
        <v>42</v>
      </c>
    </row>
    <row r="946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3" t="s">
        <v>42</v>
      </c>
      <c r="AI946" s="43" t="s">
        <v>42</v>
      </c>
      <c r="AJ946" s="43" t="s">
        <v>42</v>
      </c>
      <c r="AK946" s="43" t="s">
        <v>42</v>
      </c>
    </row>
    <row r="947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3" t="s">
        <v>42</v>
      </c>
      <c r="AI947" s="43" t="s">
        <v>42</v>
      </c>
      <c r="AJ947" s="43" t="s">
        <v>42</v>
      </c>
      <c r="AK947" s="43" t="s">
        <v>42</v>
      </c>
    </row>
    <row r="948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3" t="s">
        <v>42</v>
      </c>
      <c r="AI948" s="43" t="s">
        <v>42</v>
      </c>
      <c r="AJ948" s="43" t="s">
        <v>42</v>
      </c>
      <c r="AK948" s="43" t="s">
        <v>42</v>
      </c>
    </row>
    <row r="949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3" t="s">
        <v>42</v>
      </c>
      <c r="AI949" s="43" t="s">
        <v>42</v>
      </c>
      <c r="AJ949" s="43" t="s">
        <v>42</v>
      </c>
      <c r="AK949" s="43" t="s">
        <v>42</v>
      </c>
    </row>
    <row r="950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3" t="s">
        <v>42</v>
      </c>
      <c r="AI950" s="43" t="s">
        <v>42</v>
      </c>
      <c r="AJ950" s="43" t="s">
        <v>42</v>
      </c>
      <c r="AK950" s="43" t="s">
        <v>42</v>
      </c>
    </row>
    <row r="95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3" t="s">
        <v>42</v>
      </c>
      <c r="AI951" s="43" t="s">
        <v>42</v>
      </c>
      <c r="AJ951" s="43" t="s">
        <v>42</v>
      </c>
      <c r="AK951" s="43" t="s">
        <v>42</v>
      </c>
    </row>
    <row r="952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3" t="s">
        <v>42</v>
      </c>
      <c r="AI952" s="43" t="s">
        <v>42</v>
      </c>
      <c r="AJ952" s="43" t="s">
        <v>42</v>
      </c>
      <c r="AK952" s="43" t="s">
        <v>42</v>
      </c>
    </row>
    <row r="953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3" t="s">
        <v>42</v>
      </c>
      <c r="AI953" s="43" t="s">
        <v>42</v>
      </c>
      <c r="AJ953" s="43" t="s">
        <v>42</v>
      </c>
      <c r="AK953" s="43" t="s">
        <v>42</v>
      </c>
    </row>
    <row r="954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3" t="s">
        <v>42</v>
      </c>
      <c r="AI954" s="43" t="s">
        <v>42</v>
      </c>
      <c r="AJ954" s="43" t="s">
        <v>42</v>
      </c>
      <c r="AK954" s="43" t="s">
        <v>42</v>
      </c>
    </row>
    <row r="955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3" t="s">
        <v>42</v>
      </c>
      <c r="AI955" s="43" t="s">
        <v>42</v>
      </c>
      <c r="AJ955" s="43" t="s">
        <v>42</v>
      </c>
      <c r="AK955" s="43" t="s">
        <v>42</v>
      </c>
    </row>
    <row r="956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3" t="s">
        <v>42</v>
      </c>
      <c r="AI956" s="43" t="s">
        <v>42</v>
      </c>
      <c r="AJ956" s="43" t="s">
        <v>42</v>
      </c>
      <c r="AK956" s="43" t="s">
        <v>42</v>
      </c>
    </row>
    <row r="957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3" t="s">
        <v>42</v>
      </c>
      <c r="AI957" s="43" t="s">
        <v>42</v>
      </c>
      <c r="AJ957" s="43" t="s">
        <v>42</v>
      </c>
      <c r="AK957" s="43" t="s">
        <v>42</v>
      </c>
    </row>
    <row r="958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3" t="s">
        <v>42</v>
      </c>
      <c r="AI958" s="43" t="s">
        <v>42</v>
      </c>
      <c r="AJ958" s="43" t="s">
        <v>42</v>
      </c>
      <c r="AK958" s="43" t="s">
        <v>42</v>
      </c>
    </row>
    <row r="959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3" t="s">
        <v>42</v>
      </c>
      <c r="AI959" s="43" t="s">
        <v>42</v>
      </c>
      <c r="AJ959" s="43" t="s">
        <v>42</v>
      </c>
      <c r="AK959" s="43" t="s">
        <v>42</v>
      </c>
    </row>
    <row r="960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3" t="s">
        <v>42</v>
      </c>
      <c r="AI960" s="43" t="s">
        <v>42</v>
      </c>
      <c r="AJ960" s="43" t="s">
        <v>42</v>
      </c>
      <c r="AK960" s="43" t="s">
        <v>42</v>
      </c>
    </row>
    <row r="96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3" t="s">
        <v>42</v>
      </c>
      <c r="AI961" s="43" t="s">
        <v>42</v>
      </c>
      <c r="AJ961" s="43" t="s">
        <v>42</v>
      </c>
      <c r="AK961" s="43" t="s">
        <v>42</v>
      </c>
    </row>
    <row r="962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3" t="s">
        <v>42</v>
      </c>
      <c r="AI962" s="43" t="s">
        <v>42</v>
      </c>
      <c r="AJ962" s="43" t="s">
        <v>42</v>
      </c>
      <c r="AK962" s="43" t="s">
        <v>42</v>
      </c>
    </row>
    <row r="963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3" t="s">
        <v>42</v>
      </c>
      <c r="AI963" s="43" t="s">
        <v>42</v>
      </c>
      <c r="AJ963" s="43" t="s">
        <v>42</v>
      </c>
      <c r="AK963" s="43" t="s">
        <v>42</v>
      </c>
    </row>
    <row r="964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3" t="s">
        <v>42</v>
      </c>
      <c r="AI964" s="43" t="s">
        <v>42</v>
      </c>
      <c r="AJ964" s="43" t="s">
        <v>42</v>
      </c>
      <c r="AK964" s="43" t="s">
        <v>42</v>
      </c>
    </row>
    <row r="965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3" t="s">
        <v>42</v>
      </c>
      <c r="AI965" s="43" t="s">
        <v>42</v>
      </c>
      <c r="AJ965" s="43" t="s">
        <v>42</v>
      </c>
      <c r="AK965" s="43" t="s">
        <v>42</v>
      </c>
    </row>
    <row r="966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3" t="s">
        <v>42</v>
      </c>
      <c r="AI966" s="43" t="s">
        <v>42</v>
      </c>
      <c r="AJ966" s="43" t="s">
        <v>42</v>
      </c>
      <c r="AK966" s="43" t="s">
        <v>42</v>
      </c>
    </row>
    <row r="967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3" t="s">
        <v>42</v>
      </c>
      <c r="AI967" s="43" t="s">
        <v>42</v>
      </c>
      <c r="AJ967" s="43" t="s">
        <v>42</v>
      </c>
      <c r="AK967" s="43" t="s">
        <v>42</v>
      </c>
    </row>
    <row r="968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3" t="s">
        <v>42</v>
      </c>
      <c r="AI968" s="43" t="s">
        <v>42</v>
      </c>
      <c r="AJ968" s="43" t="s">
        <v>42</v>
      </c>
      <c r="AK968" s="43" t="s">
        <v>42</v>
      </c>
    </row>
    <row r="969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3" t="s">
        <v>42</v>
      </c>
      <c r="AI969" s="43" t="s">
        <v>42</v>
      </c>
      <c r="AJ969" s="43" t="s">
        <v>42</v>
      </c>
      <c r="AK969" s="43" t="s">
        <v>42</v>
      </c>
    </row>
    <row r="970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3" t="s">
        <v>42</v>
      </c>
      <c r="AI970" s="43" t="s">
        <v>42</v>
      </c>
      <c r="AJ970" s="43" t="s">
        <v>42</v>
      </c>
      <c r="AK970" s="43" t="s">
        <v>42</v>
      </c>
    </row>
    <row r="97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3" t="s">
        <v>42</v>
      </c>
      <c r="AI971" s="43" t="s">
        <v>42</v>
      </c>
      <c r="AJ971" s="43" t="s">
        <v>42</v>
      </c>
      <c r="AK971" s="43" t="s">
        <v>42</v>
      </c>
    </row>
    <row r="972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3" t="s">
        <v>42</v>
      </c>
      <c r="AI972" s="43" t="s">
        <v>42</v>
      </c>
      <c r="AJ972" s="43" t="s">
        <v>42</v>
      </c>
      <c r="AK972" s="43" t="s">
        <v>42</v>
      </c>
    </row>
    <row r="973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3" t="s">
        <v>42</v>
      </c>
      <c r="AI973" s="43" t="s">
        <v>42</v>
      </c>
      <c r="AJ973" s="43" t="s">
        <v>42</v>
      </c>
      <c r="AK973" s="43" t="s">
        <v>42</v>
      </c>
    </row>
    <row r="974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3" t="s">
        <v>42</v>
      </c>
      <c r="AI974" s="43" t="s">
        <v>42</v>
      </c>
      <c r="AJ974" s="43" t="s">
        <v>42</v>
      </c>
      <c r="AK974" s="43" t="s">
        <v>42</v>
      </c>
    </row>
    <row r="975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3" t="s">
        <v>42</v>
      </c>
      <c r="AI975" s="43" t="s">
        <v>42</v>
      </c>
      <c r="AJ975" s="43" t="s">
        <v>42</v>
      </c>
      <c r="AK975" s="43" t="s">
        <v>42</v>
      </c>
    </row>
    <row r="976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3" t="s">
        <v>42</v>
      </c>
      <c r="AI976" s="43" t="s">
        <v>42</v>
      </c>
      <c r="AJ976" s="43" t="s">
        <v>42</v>
      </c>
      <c r="AK976" s="43" t="s">
        <v>42</v>
      </c>
    </row>
    <row r="977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3" t="s">
        <v>42</v>
      </c>
      <c r="AI977" s="43" t="s">
        <v>42</v>
      </c>
      <c r="AJ977" s="43" t="s">
        <v>42</v>
      </c>
      <c r="AK977" s="43" t="s">
        <v>42</v>
      </c>
    </row>
    <row r="978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3" t="s">
        <v>42</v>
      </c>
      <c r="AI978" s="43" t="s">
        <v>42</v>
      </c>
      <c r="AJ978" s="43" t="s">
        <v>42</v>
      </c>
      <c r="AK978" s="43" t="s">
        <v>42</v>
      </c>
    </row>
    <row r="979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3" t="s">
        <v>42</v>
      </c>
      <c r="AI979" s="43" t="s">
        <v>42</v>
      </c>
      <c r="AJ979" s="43" t="s">
        <v>42</v>
      </c>
      <c r="AK979" s="43" t="s">
        <v>42</v>
      </c>
    </row>
    <row r="980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3" t="s">
        <v>42</v>
      </c>
      <c r="AI980" s="43" t="s">
        <v>42</v>
      </c>
      <c r="AJ980" s="43" t="s">
        <v>42</v>
      </c>
      <c r="AK980" s="43" t="s">
        <v>42</v>
      </c>
    </row>
    <row r="98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3" t="s">
        <v>42</v>
      </c>
      <c r="AI981" s="43" t="s">
        <v>42</v>
      </c>
      <c r="AJ981" s="43" t="s">
        <v>42</v>
      </c>
      <c r="AK981" s="43" t="s">
        <v>42</v>
      </c>
    </row>
    <row r="982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3" t="s">
        <v>42</v>
      </c>
      <c r="AI982" s="43" t="s">
        <v>42</v>
      </c>
      <c r="AJ982" s="43" t="s">
        <v>42</v>
      </c>
      <c r="AK982" s="43" t="s">
        <v>42</v>
      </c>
    </row>
    <row r="983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3" t="s">
        <v>42</v>
      </c>
      <c r="AI983" s="43" t="s">
        <v>42</v>
      </c>
      <c r="AJ983" s="43" t="s">
        <v>42</v>
      </c>
      <c r="AK983" s="43" t="s">
        <v>42</v>
      </c>
    </row>
    <row r="984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3" t="s">
        <v>42</v>
      </c>
      <c r="AI984" s="43" t="s">
        <v>42</v>
      </c>
      <c r="AJ984" s="43" t="s">
        <v>42</v>
      </c>
      <c r="AK984" s="43" t="s">
        <v>42</v>
      </c>
    </row>
    <row r="985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3" t="s">
        <v>42</v>
      </c>
      <c r="AI985" s="43" t="s">
        <v>42</v>
      </c>
      <c r="AJ985" s="43" t="s">
        <v>42</v>
      </c>
      <c r="AK985" s="43" t="s">
        <v>42</v>
      </c>
    </row>
    <row r="986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3" t="s">
        <v>42</v>
      </c>
      <c r="AI986" s="43" t="s">
        <v>42</v>
      </c>
      <c r="AJ986" s="43" t="s">
        <v>42</v>
      </c>
      <c r="AK986" s="43" t="s">
        <v>42</v>
      </c>
    </row>
    <row r="987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3" t="s">
        <v>42</v>
      </c>
      <c r="AI987" s="43" t="s">
        <v>42</v>
      </c>
      <c r="AJ987" s="43" t="s">
        <v>42</v>
      </c>
      <c r="AK987" s="43" t="s">
        <v>42</v>
      </c>
    </row>
    <row r="988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3" t="s">
        <v>42</v>
      </c>
      <c r="AI988" s="43" t="s">
        <v>42</v>
      </c>
      <c r="AJ988" s="43" t="s">
        <v>42</v>
      </c>
      <c r="AK988" s="43" t="s">
        <v>42</v>
      </c>
    </row>
    <row r="989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3" t="s">
        <v>42</v>
      </c>
      <c r="AI989" s="43" t="s">
        <v>42</v>
      </c>
      <c r="AJ989" s="43" t="s">
        <v>42</v>
      </c>
      <c r="AK989" s="43" t="s">
        <v>42</v>
      </c>
    </row>
    <row r="990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3" t="s">
        <v>42</v>
      </c>
      <c r="AI990" s="43" t="s">
        <v>42</v>
      </c>
      <c r="AJ990" s="43" t="s">
        <v>42</v>
      </c>
      <c r="AK990" s="43" t="s">
        <v>42</v>
      </c>
    </row>
  </sheetData>
  <mergeCells count="4">
    <mergeCell ref="E2:P2"/>
    <mergeCell ref="Q2:AD2"/>
    <mergeCell ref="AE2:AG2"/>
    <mergeCell ref="AH2:AK2"/>
  </mergeCells>
  <dataValidations>
    <dataValidation type="list" allowBlank="1" sqref="AE4:AE159">
      <formula1>"Opção 1,Opção 2"</formula1>
    </dataValidation>
    <dataValidation type="list" allowBlank="1" sqref="V4:V159">
      <formula1>"6 meses,1 ano,3 anos,5 anos,10 anos,15 anos,20 anos,Indeterminado"</formula1>
    </dataValidation>
    <dataValidation type="list" allowBlank="1" sqref="T4:T159">
      <formula1>"Crianças,Adolescentes,Idosos,Não"</formula1>
    </dataValidation>
    <dataValidation allowBlank="1" showDropDown="1" sqref="D4:D159 F4:G159 I4:I159 K4:P159"/>
    <dataValidation type="list" allowBlank="1" sqref="H4:H159 J4:J159">
      <formula1>"Sim,Não"</formula1>
    </dataValidation>
    <dataValidation type="list" allowBlank="1" sqref="A4:A159">
      <formula1>"Em análise escritório,Dúvidas,Em andamento,Pendente,Concluído,Resposta FCAV,Duplicado"</formula1>
    </dataValidation>
    <dataValidation type="list" allowBlank="1" sqref="Y4:Y159">
      <formula1>"Baixo,Médio,Alto"</formula1>
    </dataValidation>
    <dataValidation allowBlank="1" showDropDown="1" sqref="C4:C159 X4:X159 AC4:AC159"/>
    <dataValidation type="custom" allowBlank="1" showDropDown="1" sqref="AF4:AF159">
      <formula1>OR(NOT(ISERROR(DATEVALUE(AF4))), AND(ISNUMBER(AF4), LEFT(CELL("format", AF4))="D"))</formula1>
    </dataValidation>
    <dataValidation type="list" allowBlank="1" sqref="B4:B159">
      <formula1>"ADMINISTRATIVO,CERTIFICAÇÃO,CONSELHO CURADOR,CONTRATOS,ECP,EDUCAÇÃO,GTE,FINANCEIRO,GESTÃO DE PESSOAS,MKT,TI"</formula1>
    </dataValidation>
    <dataValidation type="custom" allowBlank="1" showDropDown="1" sqref="AH4:AK159">
      <formula1>AND(ISNUMBER(AH4),(NOT(OR(NOT(ISERROR(DATEVALUE(AH4))), AND(ISNUMBER(AH4), LEFT(CELL("format", AH4))="D")))))</formula1>
    </dataValidation>
    <dataValidation type="list" allowBlank="1" sqref="U4:U159">
      <formula1>"Não,Sim"</formula1>
    </dataValidation>
    <dataValidation type="list" allowBlank="1" sqref="Q4:Q159">
      <formula1>"Consentimento,Cumprimento de Obrigação Legal/Regulatória,Execução de Contrato,Exercício regular de direitos,Proteção da vida ou Integridade física,Tutela da saúde,Legítimo Interesse,Proteção ao Crédito,Cumprimento de políticas públicas,Prevenção à fraude "&amp;"e segurança"</formula1>
    </dataValidation>
    <dataValidation type="list" allowBlank="1" sqref="R4:R159">
      <formula1>"Controlador,Operador"</formula1>
    </dataValidation>
    <dataValidation type="list" allowBlank="1" sqref="S4:S159">
      <formula1>"Dado Pessoal,Dado Pessoal Sensível,Dados Anonimizados"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0.38"/>
    <col customWidth="1" min="2" max="2" width="20.25"/>
    <col customWidth="1" min="3" max="3" width="19.75"/>
    <col customWidth="1" min="4" max="4" width="18.75"/>
    <col customWidth="1" min="5" max="5" width="19.88"/>
    <col customWidth="1" min="6" max="6" width="21.25"/>
    <col customWidth="1" min="7" max="7" width="21.13"/>
    <col customWidth="1" min="8" max="8" width="21.25"/>
    <col customWidth="1" min="9" max="9" width="15.75"/>
    <col customWidth="1" min="10" max="10" width="21.13"/>
    <col customWidth="1" min="11" max="11" width="20.38"/>
    <col customWidth="1" min="12" max="12" width="24.25"/>
  </cols>
  <sheetData>
    <row r="1" ht="1.5" customHeight="1">
      <c r="A1" s="44"/>
      <c r="B1" s="44"/>
      <c r="C1" s="44"/>
      <c r="D1" s="45"/>
      <c r="E1" s="45"/>
      <c r="F1" s="45"/>
      <c r="G1" s="46"/>
      <c r="H1" s="47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ht="29.25" customHeight="1">
      <c r="A2" s="49"/>
      <c r="B2" s="50" t="s">
        <v>43</v>
      </c>
      <c r="C2" s="51"/>
      <c r="D2" s="52" t="s">
        <v>44</v>
      </c>
      <c r="E2" s="45"/>
      <c r="F2" s="53" t="s">
        <v>45</v>
      </c>
      <c r="G2" s="46"/>
      <c r="H2" s="54" t="s">
        <v>46</v>
      </c>
      <c r="I2" s="48"/>
      <c r="J2" s="52" t="s">
        <v>47</v>
      </c>
      <c r="K2" s="48"/>
      <c r="L2" s="55" t="s">
        <v>48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ht="36.75" customHeight="1">
      <c r="A3" s="56"/>
      <c r="B3" s="57">
        <f>COUNTIFS('REGISTRO UNIFICADO'!A4:A841, "&lt;&gt;", 'REGISTRO UNIFICADO'!A4:A841, "&lt;&gt;Duplicado")</f>
        <v>0</v>
      </c>
      <c r="C3" s="51"/>
      <c r="D3" s="58" t="str">
        <f>E52</f>
        <v/>
      </c>
      <c r="E3" s="51"/>
      <c r="F3" s="59" t="str">
        <f>AVERAGE('REGISTRO UNIFICADO'!AH4:AH841)</f>
        <v>#DIV/0!</v>
      </c>
      <c r="G3" s="60"/>
      <c r="H3" s="61" t="str">
        <f>H37</f>
        <v/>
      </c>
      <c r="I3" s="62"/>
      <c r="J3" s="63" t="str">
        <f>I37</f>
        <v/>
      </c>
      <c r="K3" s="62"/>
      <c r="L3" s="64" t="str">
        <f>R36</f>
        <v/>
      </c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.5" customHeight="1">
      <c r="A4" s="44"/>
      <c r="B4" s="44"/>
      <c r="C4" s="44"/>
      <c r="D4" s="45"/>
      <c r="E4" s="45"/>
      <c r="F4" s="45"/>
      <c r="G4" s="46"/>
      <c r="H4" s="47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ht="1.5" customHeight="1">
      <c r="A5" s="44"/>
      <c r="B5" s="44"/>
      <c r="C5" s="44"/>
      <c r="D5" s="45"/>
      <c r="E5" s="45"/>
      <c r="F5" s="45"/>
      <c r="G5" s="46"/>
      <c r="H5" s="47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ht="21.75" customHeight="1">
      <c r="A6" s="44"/>
      <c r="B6" s="44"/>
      <c r="C6" s="44"/>
      <c r="D6" s="45"/>
      <c r="E6" s="45"/>
      <c r="F6" s="45"/>
      <c r="G6" s="46"/>
      <c r="H6" s="47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22.5" customHeight="1">
      <c r="A7" s="65" t="s">
        <v>49</v>
      </c>
      <c r="B7" s="65" t="s">
        <v>50</v>
      </c>
      <c r="C7" s="66" t="s">
        <v>51</v>
      </c>
      <c r="D7" s="67" t="s">
        <v>52</v>
      </c>
      <c r="E7" s="68" t="s">
        <v>53</v>
      </c>
      <c r="F7" s="67" t="s">
        <v>54</v>
      </c>
      <c r="G7" s="66" t="s">
        <v>55</v>
      </c>
      <c r="H7" s="69" t="s">
        <v>56</v>
      </c>
      <c r="I7" s="44"/>
      <c r="J7" s="44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ht="22.5" customHeight="1">
      <c r="A8" s="70"/>
      <c r="B8" s="70" t="str">
        <f>IFERROR(__xludf.DUMMYFUNCTION("QUERY('REGISTRO UNIFICADO'!A4:AK841, 
  ""SELECT B, COUNT(A), AVG(AH), AVG(AI), AVG(AJ), AVG(AK) 
   WHERE A IS NOT NULL AND A &lt;&gt; 'Duplicado'
   GROUP BY B 
   ORDER BY COUNT(A) DESC 
   LABEL COUNT(A) '', AVG(AH) '', AVG(AI) '', AVG(AJ) '', AVG(AK) ''"","&amp;" 
0)"),"#VALUE!")</f>
        <v>#VALUE!</v>
      </c>
      <c r="C8" s="71"/>
      <c r="D8" s="72"/>
      <c r="E8" s="72"/>
      <c r="F8" s="73"/>
      <c r="G8" s="74"/>
      <c r="H8" s="75" t="str">
        <f>IFERROR(__xludf.DUMMYFUNCTION("SPARKLINE(G8, {""charttype"",""bar""; ""max"",1; ""color1"",""#32327f""; ""color2"",""#d9d9d9""})"),"#N/A")</f>
        <v>#N/A</v>
      </c>
      <c r="I8" s="76"/>
      <c r="J8" s="44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ht="22.5" customHeight="1">
      <c r="A9" s="75"/>
      <c r="B9" s="77"/>
      <c r="C9" s="78"/>
      <c r="D9" s="79"/>
      <c r="E9" s="79"/>
      <c r="F9" s="80"/>
      <c r="G9" s="81"/>
      <c r="H9" s="77" t="str">
        <f>IFERROR(__xludf.DUMMYFUNCTION("SPARKLINE(G9, {""charttype"",""bar""; ""max"",1; ""color1"",""#32327f""; ""color2"",""#d9d9d9""})"),"#N/A")</f>
        <v>#N/A</v>
      </c>
      <c r="I9" s="76"/>
      <c r="J9" s="44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ht="22.5" customHeight="1">
      <c r="A10" s="75"/>
      <c r="B10" s="75"/>
      <c r="C10" s="71"/>
      <c r="D10" s="72"/>
      <c r="E10" s="72"/>
      <c r="F10" s="73"/>
      <c r="G10" s="74"/>
      <c r="H10" s="75" t="str">
        <f>IFERROR(__xludf.DUMMYFUNCTION("SPARKLINE(G10, {""charttype"",""bar""; ""max"",1; ""color1"",""#32327f""; ""color2"",""#d9d9d9""})"),"#N/A")</f>
        <v>#N/A</v>
      </c>
      <c r="I10" s="76"/>
      <c r="J10" s="44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ht="22.5" customHeight="1">
      <c r="A11" s="75"/>
      <c r="B11" s="77"/>
      <c r="C11" s="78"/>
      <c r="D11" s="79"/>
      <c r="E11" s="79"/>
      <c r="F11" s="80"/>
      <c r="G11" s="81"/>
      <c r="H11" s="77" t="str">
        <f>IFERROR(__xludf.DUMMYFUNCTION("SPARKLINE(G11, {""charttype"",""bar""; ""max"",1; ""color1"",""#32327f""; ""color2"",""#d9d9d9""})"),"#N/A")</f>
        <v>#N/A</v>
      </c>
      <c r="I11" s="76"/>
      <c r="J11" s="44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ht="22.5" customHeight="1">
      <c r="A12" s="75"/>
      <c r="B12" s="75"/>
      <c r="C12" s="71"/>
      <c r="D12" s="72"/>
      <c r="E12" s="72"/>
      <c r="F12" s="73"/>
      <c r="G12" s="74"/>
      <c r="H12" s="75" t="str">
        <f>IFERROR(__xludf.DUMMYFUNCTION("SPARKLINE(G12, {""charttype"",""bar""; ""max"",1; ""color1"",""#32327f""; ""color2"",""#d9d9d9""})"),"#N/A")</f>
        <v>#N/A</v>
      </c>
      <c r="I12" s="76"/>
      <c r="J12" s="44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ht="22.5" customHeight="1">
      <c r="A13" s="75"/>
      <c r="B13" s="77"/>
      <c r="C13" s="78"/>
      <c r="D13" s="79"/>
      <c r="E13" s="79"/>
      <c r="F13" s="80"/>
      <c r="G13" s="81"/>
      <c r="H13" s="77" t="str">
        <f>IFERROR(__xludf.DUMMYFUNCTION("SPARKLINE(G13, {""charttype"",""bar""; ""max"",1; ""color1"",""#32327f""; ""color2"",""#d9d9d9""})"),"#N/A")</f>
        <v>#N/A</v>
      </c>
      <c r="I13" s="76"/>
      <c r="J13" s="44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ht="22.5" customHeight="1">
      <c r="A14" s="75"/>
      <c r="B14" s="75"/>
      <c r="C14" s="71"/>
      <c r="D14" s="72"/>
      <c r="E14" s="72"/>
      <c r="F14" s="73"/>
      <c r="G14" s="74"/>
      <c r="H14" s="75" t="str">
        <f>IFERROR(__xludf.DUMMYFUNCTION("SPARKLINE(G14, {""charttype"",""bar""; ""max"",1; ""color1"",""#32327f""; ""color2"",""#d9d9d9""})"),"#N/A")</f>
        <v>#N/A</v>
      </c>
      <c r="I14" s="76"/>
      <c r="J14" s="44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ht="22.5" customHeight="1">
      <c r="A15" s="75"/>
      <c r="B15" s="77"/>
      <c r="C15" s="78"/>
      <c r="D15" s="79"/>
      <c r="E15" s="79"/>
      <c r="F15" s="80"/>
      <c r="G15" s="81"/>
      <c r="H15" s="77" t="str">
        <f>IFERROR(__xludf.DUMMYFUNCTION("SPARKLINE(G15, {""charttype"",""bar""; ""max"",1; ""color1"",""#32327f""; ""color2"",""#d9d9d9""})"),"#N/A")</f>
        <v>#N/A</v>
      </c>
      <c r="I15" s="76"/>
      <c r="J15" s="4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ht="22.5" customHeight="1">
      <c r="A16" s="75"/>
      <c r="B16" s="75"/>
      <c r="C16" s="71"/>
      <c r="D16" s="72"/>
      <c r="E16" s="72"/>
      <c r="F16" s="73"/>
      <c r="G16" s="74"/>
      <c r="H16" s="75" t="str">
        <f>IFERROR(__xludf.DUMMYFUNCTION("SPARKLINE(G16, {""charttype"",""bar""; ""max"",1; ""color1"",""#32327f""; ""color2"",""#d9d9d9""})"),"#N/A")</f>
        <v>#N/A</v>
      </c>
      <c r="I16" s="76"/>
      <c r="J16" s="44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ht="23.25" customHeight="1">
      <c r="A17" s="75"/>
      <c r="B17" s="77"/>
      <c r="C17" s="78"/>
      <c r="D17" s="79"/>
      <c r="E17" s="79"/>
      <c r="F17" s="80"/>
      <c r="G17" s="81"/>
      <c r="H17" s="77" t="str">
        <f>IFERROR(__xludf.DUMMYFUNCTION("SPARKLINE(G17, {""charttype"",""bar""; ""max"",1; ""color1"",""#32327f""; ""color2"",""#d9d9d9""})"),"#N/A")</f>
        <v>#N/A</v>
      </c>
      <c r="I17" s="76"/>
      <c r="J17" s="44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ht="20.25" customHeight="1">
      <c r="A18" s="75"/>
      <c r="B18" s="75"/>
      <c r="C18" s="71"/>
      <c r="D18" s="72"/>
      <c r="E18" s="72"/>
      <c r="F18" s="73"/>
      <c r="G18" s="74"/>
      <c r="H18" s="75" t="str">
        <f>IFERROR(__xludf.DUMMYFUNCTION("SPARKLINE(G18, {""charttype"",""bar""; ""max"",1; ""color1"",""#32327f""; ""color2"",""#d9d9d9""})"),"#N/A")</f>
        <v>#N/A</v>
      </c>
      <c r="I18" s="76"/>
      <c r="J18" s="44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ht="6.75" customHeight="1">
      <c r="A19" s="44"/>
      <c r="B19" s="44"/>
      <c r="C19" s="44"/>
      <c r="D19" s="45"/>
      <c r="E19" s="45"/>
      <c r="F19" s="45"/>
      <c r="G19" s="46"/>
      <c r="H19" s="47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44"/>
      <c r="B20" s="44"/>
      <c r="C20" s="44"/>
      <c r="D20" s="45"/>
      <c r="E20" s="45"/>
      <c r="F20" s="82" t="s">
        <v>57</v>
      </c>
      <c r="G20" s="83" t="s">
        <v>58</v>
      </c>
      <c r="H20" s="47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>
      <c r="A21" s="44"/>
      <c r="B21" s="44"/>
      <c r="C21" s="44"/>
      <c r="D21" s="45"/>
      <c r="E21" s="45"/>
      <c r="F21" s="84" t="s">
        <v>59</v>
      </c>
      <c r="G21" s="84" t="str">
        <f>AVERAGE('REGISTRO UNIFICADO'!AK4:AK841)</f>
        <v>#DIV/0!</v>
      </c>
      <c r="H21" s="47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>
      <c r="A22" s="44"/>
      <c r="B22" s="44"/>
      <c r="C22" s="44"/>
      <c r="D22" s="45"/>
      <c r="E22" s="45"/>
      <c r="F22" s="85" t="s">
        <v>50</v>
      </c>
      <c r="G22" s="85" t="str">
        <f>AVERAGE('REGISTRO UNIFICADO'!AH4:AH841)</f>
        <v>#DIV/0!</v>
      </c>
      <c r="H22" s="47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>
      <c r="A23" s="44"/>
      <c r="B23" s="44"/>
      <c r="C23" s="44"/>
      <c r="D23" s="45"/>
      <c r="E23" s="45"/>
      <c r="F23" s="85" t="s">
        <v>60</v>
      </c>
      <c r="G23" s="85" t="str">
        <f>AVERAGE('REGISTRO UNIFICADO'!AI4:AI841)</f>
        <v>#DIV/0!</v>
      </c>
      <c r="H23" s="86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>
      <c r="A24" s="44"/>
      <c r="B24" s="44"/>
      <c r="C24" s="44"/>
      <c r="D24" s="44"/>
      <c r="E24" s="44"/>
      <c r="F24" s="88" t="s">
        <v>61</v>
      </c>
      <c r="G24" s="88" t="str">
        <f>AVERAGE('REGISTRO UNIFICADO'!AJ4:AJ841)</f>
        <v>#DIV/0!</v>
      </c>
      <c r="H24" s="86"/>
      <c r="I24" s="87"/>
      <c r="J24" s="87"/>
      <c r="K24" s="87"/>
      <c r="L24" s="87"/>
      <c r="M24" s="87"/>
      <c r="N24" s="87"/>
      <c r="O24" s="87"/>
      <c r="P24" s="87"/>
      <c r="Q24" s="87" t="str">
        <f>IFERROR(__xludf.DUMMYFUNCTION("{
  QUERY(
    {
     'REGISTRO UNIFICADO'!B4:B841 , 
     'REGISTRO UNIFICADO'!A4:A841 , 
     ARRAYFORMULA(N(REGEXMATCH('REGISTRO UNIFICADO'!T4:T841, ""Crianças|Adolescentes|Idosos"")))
    }, 
    ""SELECT Col1, SUM(Col3) 
     WHERE Col1 IS NOT NULL A"&amp;"ND Col2 &lt;&gt; 'Duplicado' 
     GROUP BY Col1 
     ORDER BY SUM(Col3) DESC
     LABEL Col1 'Área', SUM(Col3) 'Qtd Vulneráveis'"", 
  1);
  {
   ""TOTAL"" , 
   SUMPRODUCT(
     REGEXMATCH('REGISTRO UNIFICADO'!T4:T841, ""Crianças|Adolescentes|Idosos"") * ('R"&amp;"EGISTRO UNIFICADO'!A4:A841 &lt;&gt; ""Duplicado"")
   )
  }
}"),"Área")</f>
        <v>Área</v>
      </c>
      <c r="R24" s="87" t="str">
        <f>IFERROR(__xludf.DUMMYFUNCTION("""COMPUTED_VALUE"""),"Qtd Vulneráveis")</f>
        <v>Qtd Vulneráveis</v>
      </c>
      <c r="S24" s="87"/>
      <c r="T24" s="87"/>
      <c r="U24" s="87"/>
      <c r="V24" s="87"/>
      <c r="W24" s="87"/>
      <c r="X24" s="87"/>
      <c r="Y24" s="87"/>
      <c r="Z24" s="87"/>
    </row>
    <row r="25">
      <c r="A25" s="89"/>
      <c r="B25" s="89"/>
      <c r="C25" s="89"/>
      <c r="D25" s="45"/>
      <c r="E25" s="90"/>
      <c r="F25" s="90"/>
      <c r="G25" s="91" t="str">
        <f>IFERROR(__xludf.DUMMYFUNCTION("{
  QUERY(
    {
     'REGISTRO UNIFICADO'!B4:B841 , 
     'REGISTRO UNIFICADO'!A4:A841 , 
     ARRAYFORMULA(N('REGISTRO UNIFICADO'!H4:H841=""Sim"")) , 
     ARRAYFORMULA(N('REGISTRO UNIFICADO'!J4:J841=""Sim""))
    }, 
    ""SELECT Col1, SUM(Col3), SUM(C"&amp;"ol4) 
     WHERE Col1 IS NOT NULL AND Col2 &lt;&gt; 'Duplicado' 
     GROUP BY Col1 
     LABEL Col1 'Área', SUM(Col3) 'Envio Interno', SUM(Col4) 'Envio Externo'"", 
  1);
  {
   ""TOTAL"" , 
   COUNTIFS('REGISTRO UNIFICADO'!H4:H841, ""Sim"", 'REGISTRO UNIFICAD"&amp;"O'!A4:A841, ""&lt;&gt;Duplicado"") , 
   COUNTIFS('REGISTRO UNIFICADO'!J4:J841, ""Sim"", 'REGISTRO UNIFICADO'!A4:A841, ""&lt;&gt;Duplicado"")
  }
}"),"Área")</f>
        <v>Área</v>
      </c>
      <c r="H25" s="86" t="str">
        <f>IFERROR(__xludf.DUMMYFUNCTION("""COMPUTED_VALUE"""),"Envio Interno")</f>
        <v>Envio Interno</v>
      </c>
      <c r="I25" s="87" t="str">
        <f>IFERROR(__xludf.DUMMYFUNCTION("""COMPUTED_VALUE"""),"Envio Externo")</f>
        <v>Envio Externo</v>
      </c>
      <c r="J25" s="87"/>
      <c r="K25" s="87" t="str">
        <f>IFERROR(__xludf.DUMMYFUNCTION("{
  QUERY('REGISTRO UNIFICADO'!A4:AZ841, 
    ""SELECT B, COUNT(A) 
     WHERE A IS NOT NULL AND S IS NOT NULL AND A &lt;&gt; 'Duplicado'
     GROUP BY B 
     PIVOT S 
     LABEL B 'Área'"", 
  1);
  QUERY(
    QUERY('REGISTRO UNIFICADO'!A4:AZ841, 
      ""SEL"&amp;"ECT ' TOTAL', COUNT(A) 
       WHERE A IS NOT NULL AND S IS NOT NULL AND A &lt;&gt; 'Duplicado'
       GROUP BY ' TOTAL' 
       PIVOT S"", 
    1), 
    ""SELECT * OFFSET 1"", 
  0)
}"),"#VALUE!")</f>
        <v>#VALUE!</v>
      </c>
      <c r="L25" s="87"/>
      <c r="M25" s="87"/>
      <c r="N25" s="87"/>
      <c r="O25" s="87"/>
      <c r="P25" s="87"/>
      <c r="Q25" s="87" t="str">
        <f>IFERROR(__xludf.DUMMYFUNCTION("""COMPUTED_VALUE"""),"TOTAL")</f>
        <v>TOTAL</v>
      </c>
      <c r="R25" s="87">
        <f>IFERROR(__xludf.DUMMYFUNCTION("""COMPUTED_VALUE"""),0.0)</f>
        <v>0</v>
      </c>
      <c r="S25" s="87"/>
      <c r="T25" s="87"/>
      <c r="U25" s="87"/>
      <c r="V25" s="87"/>
      <c r="W25" s="87"/>
      <c r="X25" s="87"/>
      <c r="Y25" s="87"/>
      <c r="Z25" s="87"/>
    </row>
    <row r="26">
      <c r="A26" s="89"/>
      <c r="B26" s="89"/>
      <c r="C26" s="89"/>
      <c r="D26" s="45"/>
      <c r="E26" s="90"/>
      <c r="F26" s="90"/>
      <c r="G26" s="91" t="str">
        <f>IFERROR(__xludf.DUMMYFUNCTION("""COMPUTED_VALUE"""),"TOTAL")</f>
        <v>TOTAL</v>
      </c>
      <c r="H26" s="86">
        <f>IFERROR(__xludf.DUMMYFUNCTION("""COMPUTED_VALUE"""),0.0)</f>
        <v>0</v>
      </c>
      <c r="I26" s="87">
        <f>IFERROR(__xludf.DUMMYFUNCTION("""COMPUTED_VALUE"""),0.0)</f>
        <v>0</v>
      </c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>
      <c r="A27" s="89"/>
      <c r="B27" s="89"/>
      <c r="C27" s="89"/>
      <c r="D27" s="45"/>
      <c r="E27" s="90"/>
      <c r="F27" s="90"/>
      <c r="G27" s="91"/>
      <c r="H27" s="92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>
      <c r="A28" s="89"/>
      <c r="B28" s="89"/>
      <c r="C28" s="89"/>
      <c r="D28" s="45"/>
      <c r="E28" s="90"/>
      <c r="F28" s="90"/>
      <c r="G28" s="91"/>
      <c r="H28" s="86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>
      <c r="A29" s="89"/>
      <c r="B29" s="89"/>
      <c r="C29" s="89"/>
      <c r="D29" s="45"/>
      <c r="E29" s="90"/>
      <c r="F29" s="90"/>
      <c r="G29" s="91"/>
      <c r="H29" s="86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>
      <c r="A30" s="89"/>
      <c r="B30" s="89"/>
      <c r="C30" s="89"/>
      <c r="D30" s="90"/>
      <c r="E30" s="90"/>
      <c r="F30" s="90"/>
      <c r="G30" s="91"/>
      <c r="H30" s="86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>
      <c r="A31" s="89"/>
      <c r="B31" s="89"/>
      <c r="C31" s="89"/>
      <c r="D31" s="90"/>
      <c r="E31" s="90"/>
      <c r="F31" s="90"/>
      <c r="G31" s="91"/>
      <c r="H31" s="86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>
      <c r="A32" s="89"/>
      <c r="B32" s="89"/>
      <c r="C32" s="89"/>
      <c r="D32" s="90"/>
      <c r="E32" s="90"/>
      <c r="F32" s="90"/>
      <c r="G32" s="91"/>
      <c r="H32" s="86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>
      <c r="A33" s="89"/>
      <c r="B33" s="89"/>
      <c r="C33" s="89"/>
      <c r="D33" s="90"/>
      <c r="E33" s="90"/>
      <c r="F33" s="90"/>
      <c r="G33" s="91"/>
      <c r="H33" s="86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>
      <c r="A34" s="89"/>
      <c r="B34" s="89"/>
      <c r="C34" s="89"/>
      <c r="D34" s="90"/>
      <c r="E34" s="90"/>
      <c r="F34" s="90"/>
      <c r="G34" s="91"/>
      <c r="H34" s="86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>
      <c r="A35" s="89"/>
      <c r="B35" s="89"/>
      <c r="C35" s="89"/>
      <c r="D35" s="90"/>
      <c r="E35" s="90"/>
      <c r="F35" s="90"/>
      <c r="G35" s="91"/>
      <c r="H35" s="86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9"/>
      <c r="B36" s="89"/>
      <c r="C36" s="89"/>
      <c r="D36" s="90"/>
      <c r="E36" s="90"/>
      <c r="F36" s="90"/>
      <c r="G36" s="91"/>
      <c r="H36" s="86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9"/>
      <c r="B37" s="89"/>
      <c r="C37" s="89"/>
      <c r="D37" s="90"/>
      <c r="E37" s="90"/>
      <c r="F37" s="90"/>
      <c r="G37" s="91"/>
      <c r="H37" s="86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9"/>
      <c r="B38" s="89"/>
      <c r="C38" s="89"/>
      <c r="D38" s="90"/>
      <c r="E38" s="90"/>
      <c r="F38" s="90"/>
      <c r="G38" s="91"/>
      <c r="H38" s="86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9"/>
      <c r="B39" s="89"/>
      <c r="C39" s="89"/>
      <c r="D39" s="90"/>
      <c r="E39" s="90"/>
      <c r="F39" s="90"/>
      <c r="G39" s="91"/>
      <c r="H39" s="86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9"/>
      <c r="B40" s="89"/>
      <c r="C40" s="89" t="str">
        <f>IFERROR(__xludf.DUMMYFUNCTION("{
  QUERY(
    {
     'REGISTRO UNIFICADO'!B4:B841 , 
     'REGISTRO UNIFICADO'!A4:A841 , 
     'REGISTRO UNIFICADO'!X4:X841 
    }, 
    ""SELECT Col1, COUNT(Col2), COUNT(Col3) 
     WHERE Col1 IS NOT NULL AND Col2 &lt;&gt; 'Duplicado' 
     GROUP BY Col1 
   "&amp;"  LABEL Col1 'Área', COUNT(Col2) 'Total Processos', COUNT(Col3) 'Com Riscos'"", 
  1);
  {
   ""TOTAL"" , 
   COUNTIFS('REGISTRO UNIFICADO'!A4:A841, ""&lt;&gt;"", 'REGISTRO UNIFICADO'!A4:A841, ""&lt;&gt;Duplicado"") , 
   COUNTIFS('REGISTRO UNIFICADO'!X4:X841, ""&lt;&gt;"""&amp;", 'REGISTRO UNIFICADO'!A4:A841, ""&lt;&gt;Duplicado"")
  }
}"),"Área")</f>
        <v>Área</v>
      </c>
      <c r="D40" s="90" t="str">
        <f>IFERROR(__xludf.DUMMYFUNCTION("""COMPUTED_VALUE"""),"Total Processos")</f>
        <v>Total Processos</v>
      </c>
      <c r="E40" s="90" t="str">
        <f>IFERROR(__xludf.DUMMYFUNCTION("""COMPUTED_VALUE"""),"Com Riscos")</f>
        <v>Com Riscos</v>
      </c>
      <c r="F40" s="90"/>
      <c r="G40" s="91"/>
      <c r="H40" s="86"/>
      <c r="I40" s="87"/>
      <c r="J40" s="87"/>
      <c r="K40" s="93" t="s">
        <v>62</v>
      </c>
      <c r="L40" s="93" t="s">
        <v>63</v>
      </c>
      <c r="M40" s="93" t="s">
        <v>64</v>
      </c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9"/>
      <c r="B41" s="89"/>
      <c r="C41" s="89" t="str">
        <f>IFERROR(__xludf.DUMMYFUNCTION("""COMPUTED_VALUE"""),"TOTAL")</f>
        <v>TOTAL</v>
      </c>
      <c r="D41" s="90">
        <f>IFERROR(__xludf.DUMMYFUNCTION("""COMPUTED_VALUE"""),0.0)</f>
        <v>0</v>
      </c>
      <c r="E41" s="90">
        <f>IFERROR(__xludf.DUMMYFUNCTION("""COMPUTED_VALUE"""),0.0)</f>
        <v>0</v>
      </c>
      <c r="F41" s="90"/>
      <c r="G41" s="91"/>
      <c r="H41" s="86"/>
      <c r="I41" s="87"/>
      <c r="J41" s="87"/>
      <c r="K41" s="87" t="str">
        <f t="shared" ref="K41:M41" si="1">L37</f>
        <v/>
      </c>
      <c r="L41" s="87" t="str">
        <f t="shared" si="1"/>
        <v/>
      </c>
      <c r="M41" s="87" t="str">
        <f t="shared" si="1"/>
        <v/>
      </c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9"/>
      <c r="B42" s="89"/>
      <c r="C42" s="89"/>
      <c r="D42" s="90"/>
      <c r="E42" s="90"/>
      <c r="F42" s="90"/>
      <c r="G42" s="91"/>
      <c r="H42" s="86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9"/>
      <c r="B43" s="89"/>
      <c r="C43" s="89"/>
      <c r="D43" s="90"/>
      <c r="E43" s="90"/>
      <c r="F43" s="90"/>
      <c r="G43" s="91"/>
      <c r="H43" s="86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9"/>
      <c r="B44" s="89"/>
      <c r="C44" s="89"/>
      <c r="D44" s="90"/>
      <c r="E44" s="90"/>
      <c r="F44" s="90"/>
      <c r="G44" s="91"/>
      <c r="H44" s="86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9"/>
      <c r="B45" s="89"/>
      <c r="C45" s="89"/>
      <c r="D45" s="90"/>
      <c r="E45" s="90"/>
      <c r="F45" s="90"/>
      <c r="G45" s="91"/>
      <c r="H45" s="86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9"/>
      <c r="B46" s="89"/>
      <c r="C46" s="89"/>
      <c r="D46" s="90"/>
      <c r="E46" s="90"/>
      <c r="F46" s="90"/>
      <c r="G46" s="91"/>
      <c r="H46" s="86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9"/>
      <c r="B47" s="89"/>
      <c r="C47" s="89"/>
      <c r="D47" s="90"/>
      <c r="E47" s="90"/>
      <c r="F47" s="90"/>
      <c r="G47" s="91"/>
      <c r="H47" s="86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9"/>
      <c r="B48" s="89"/>
      <c r="C48" s="89"/>
      <c r="D48" s="90"/>
      <c r="E48" s="90"/>
      <c r="F48" s="90"/>
      <c r="G48" s="91"/>
      <c r="H48" s="86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9"/>
      <c r="B49" s="89"/>
      <c r="C49" s="89"/>
      <c r="D49" s="90"/>
      <c r="E49" s="90"/>
      <c r="F49" s="90"/>
      <c r="G49" s="91"/>
      <c r="H49" s="86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9"/>
      <c r="B50" s="89"/>
      <c r="C50" s="89"/>
      <c r="D50" s="90"/>
      <c r="E50" s="90"/>
      <c r="F50" s="90"/>
      <c r="G50" s="91"/>
      <c r="H50" s="86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9"/>
      <c r="B51" s="89"/>
      <c r="C51" s="89"/>
      <c r="D51" s="90"/>
      <c r="E51" s="90"/>
      <c r="F51" s="90"/>
      <c r="G51" s="91"/>
      <c r="H51" s="86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9"/>
      <c r="B52" s="89"/>
      <c r="C52" s="89"/>
      <c r="D52" s="90"/>
      <c r="E52" s="90"/>
      <c r="F52" s="90"/>
      <c r="G52" s="91"/>
      <c r="H52" s="86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9"/>
      <c r="B53" s="89"/>
      <c r="C53" s="89"/>
      <c r="D53" s="90"/>
      <c r="E53" s="90"/>
      <c r="F53" s="90"/>
      <c r="G53" s="91"/>
      <c r="H53" s="86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9"/>
      <c r="B54" s="89"/>
      <c r="C54" s="89"/>
      <c r="D54" s="90"/>
      <c r="E54" s="90"/>
      <c r="F54" s="90"/>
      <c r="G54" s="91"/>
      <c r="H54" s="86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9"/>
      <c r="B55" s="89" t="str">
        <f>IFERROR(__xludf.DUMMYFUNCTION("{
  QUERY(
    {
     'REGISTRO UNIFICADO'!B4:B841 , 
     ARRAYFORMULA(N('REGISTRO UNIFICADO'!Y4:Y841=""Baixo"")) , 
     ARRAYFORMULA(N('REGISTRO UNIFICADO'!Y4:Y841=""Médio"")) , 
     ARRAYFORMULA(N('REGISTRO UNIFICADO'!Y4:Y841=""Alto"")) , 
     ARRAY"&amp;"FORMULA(N('REGISTRO UNIFICADO'!Y4:Y841=""""))
    }, 
    ""SELECT Col1, SUM(Col2), SUM(Col3), SUM(Col4), SUM(Col5) 
     WHERE Col1 IS NOT NULL 
     GROUP BY Col1 
     LABEL Col1 'Área', SUM(Col2) 'Baixo', SUM(Col3) 'Médio', SUM(Col4) 'Alto', SUM(Col5)"&amp;" 'Não Identificado'"", 
  1);
  {
   ""TOTAL"" , 
   COUNTIF('REGISTRO UNIFICADO'!Y4:Y841, ""Baixo"") , 
   COUNTIF('REGISTRO UNIFICADO'!Y4:Y841, ""Médio"") , 
   COUNTIF('REGISTRO UNIFICADO'!Y4:Y841, ""Alto"") , 
   COUNTIFS('REGISTRO UNIFICADO'!B4:B841,"&amp;" ""&lt;&gt;"", 'REGISTRO UNIFICADO'!Y4:Y841, """")
  }
}"),"Área")</f>
        <v>Área</v>
      </c>
      <c r="C55" s="89" t="str">
        <f>IFERROR(__xludf.DUMMYFUNCTION("""COMPUTED_VALUE"""),"Baixo")</f>
        <v>Baixo</v>
      </c>
      <c r="D55" s="90" t="str">
        <f>IFERROR(__xludf.DUMMYFUNCTION("""COMPUTED_VALUE"""),"Médio")</f>
        <v>Médio</v>
      </c>
      <c r="E55" s="90" t="str">
        <f>IFERROR(__xludf.DUMMYFUNCTION("""COMPUTED_VALUE"""),"Alto")</f>
        <v>Alto</v>
      </c>
      <c r="F55" s="90" t="str">
        <f>IFERROR(__xludf.DUMMYFUNCTION("""COMPUTED_VALUE"""),"Não Identificado")</f>
        <v>Não Identificado</v>
      </c>
      <c r="G55" s="91"/>
      <c r="H55" s="86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9"/>
      <c r="B56" s="89" t="str">
        <f>IFERROR(__xludf.DUMMYFUNCTION("""COMPUTED_VALUE"""),"TOTAL")</f>
        <v>TOTAL</v>
      </c>
      <c r="C56" s="89">
        <f>IFERROR(__xludf.DUMMYFUNCTION("""COMPUTED_VALUE"""),0.0)</f>
        <v>0</v>
      </c>
      <c r="D56" s="90">
        <f>IFERROR(__xludf.DUMMYFUNCTION("""COMPUTED_VALUE"""),0.0)</f>
        <v>0</v>
      </c>
      <c r="E56" s="90">
        <f>IFERROR(__xludf.DUMMYFUNCTION("""COMPUTED_VALUE"""),0.0)</f>
        <v>0</v>
      </c>
      <c r="F56" s="90">
        <f>IFERROR(__xludf.DUMMYFUNCTION("""COMPUTED_VALUE"""),0.0)</f>
        <v>0</v>
      </c>
      <c r="G56" s="91"/>
      <c r="H56" s="86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9"/>
      <c r="B57" s="89"/>
      <c r="C57" s="89"/>
      <c r="D57" s="90"/>
      <c r="E57" s="90"/>
      <c r="F57" s="90"/>
      <c r="G57" s="91"/>
      <c r="H57" s="86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9"/>
      <c r="B58" s="89"/>
      <c r="C58" s="89"/>
      <c r="D58" s="90"/>
      <c r="E58" s="90"/>
      <c r="F58" s="90"/>
      <c r="G58" s="91"/>
      <c r="H58" s="86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9"/>
      <c r="B59" s="89"/>
      <c r="C59" s="89"/>
      <c r="D59" s="90"/>
      <c r="E59" s="90"/>
      <c r="F59" s="90"/>
      <c r="G59" s="91"/>
      <c r="H59" s="86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9"/>
      <c r="B60" s="89"/>
      <c r="C60" s="89"/>
      <c r="D60" s="90"/>
      <c r="E60" s="90"/>
      <c r="F60" s="90"/>
      <c r="G60" s="91"/>
      <c r="H60" s="86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9"/>
      <c r="B61" s="89"/>
      <c r="C61" s="89"/>
      <c r="D61" s="90"/>
      <c r="E61" s="90"/>
      <c r="F61" s="90"/>
      <c r="G61" s="91"/>
      <c r="H61" s="86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9"/>
      <c r="B62" s="89"/>
      <c r="C62" s="89"/>
      <c r="D62" s="90"/>
      <c r="E62" s="90"/>
      <c r="F62" s="90"/>
      <c r="G62" s="91"/>
      <c r="H62" s="86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9"/>
      <c r="B63" s="89"/>
      <c r="C63" s="89"/>
      <c r="D63" s="90"/>
      <c r="E63" s="90"/>
      <c r="F63" s="90"/>
      <c r="G63" s="91"/>
      <c r="H63" s="86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9"/>
      <c r="B64" s="89"/>
      <c r="C64" s="89"/>
      <c r="D64" s="90"/>
      <c r="E64" s="90"/>
      <c r="F64" s="90"/>
      <c r="G64" s="91"/>
      <c r="H64" s="86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9"/>
      <c r="B65" s="89"/>
      <c r="C65" s="89"/>
      <c r="D65" s="90"/>
      <c r="E65" s="90"/>
      <c r="F65" s="90"/>
      <c r="G65" s="91"/>
      <c r="H65" s="86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9"/>
      <c r="B66" s="89"/>
      <c r="C66" s="89"/>
      <c r="D66" s="90"/>
      <c r="E66" s="90"/>
      <c r="F66" s="90"/>
      <c r="G66" s="91"/>
      <c r="H66" s="86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9"/>
      <c r="B67" s="89"/>
      <c r="C67" s="89"/>
      <c r="D67" s="90"/>
      <c r="E67" s="90"/>
      <c r="F67" s="90"/>
      <c r="G67" s="91"/>
      <c r="H67" s="86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9"/>
      <c r="B68" s="89"/>
      <c r="C68" s="89"/>
      <c r="D68" s="90"/>
      <c r="E68" s="90"/>
      <c r="F68" s="90"/>
      <c r="G68" s="91"/>
      <c r="H68" s="86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9"/>
      <c r="B69" s="89"/>
      <c r="C69" s="89"/>
      <c r="D69" s="90"/>
      <c r="E69" s="90"/>
      <c r="F69" s="90"/>
      <c r="G69" s="91"/>
      <c r="H69" s="86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9"/>
      <c r="B70" s="89"/>
      <c r="C70" s="89"/>
      <c r="D70" s="90"/>
      <c r="E70" s="90"/>
      <c r="F70" s="90"/>
      <c r="G70" s="91"/>
      <c r="H70" s="86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9"/>
      <c r="B71" s="89"/>
      <c r="C71" s="89"/>
      <c r="D71" s="90"/>
      <c r="E71" s="90"/>
      <c r="F71" s="90"/>
      <c r="G71" s="91"/>
      <c r="H71" s="86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9"/>
      <c r="B72" s="89"/>
      <c r="C72" s="89"/>
      <c r="D72" s="90"/>
      <c r="E72" s="90"/>
      <c r="F72" s="90"/>
      <c r="G72" s="91"/>
      <c r="H72" s="86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9"/>
      <c r="B73" s="89"/>
      <c r="C73" s="89"/>
      <c r="D73" s="90"/>
      <c r="E73" s="90"/>
      <c r="F73" s="90"/>
      <c r="G73" s="91"/>
      <c r="H73" s="86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9"/>
      <c r="B74" s="89"/>
      <c r="C74" s="89"/>
      <c r="D74" s="90"/>
      <c r="E74" s="90"/>
      <c r="F74" s="90"/>
      <c r="G74" s="91"/>
      <c r="H74" s="86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9"/>
      <c r="B75" s="89"/>
      <c r="C75" s="89"/>
      <c r="D75" s="90"/>
      <c r="E75" s="90"/>
      <c r="F75" s="90"/>
      <c r="G75" s="91"/>
      <c r="H75" s="86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9"/>
      <c r="B76" s="89"/>
      <c r="C76" s="89"/>
      <c r="D76" s="90"/>
      <c r="E76" s="90"/>
      <c r="F76" s="90"/>
      <c r="G76" s="91"/>
      <c r="H76" s="86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9"/>
      <c r="B77" s="89"/>
      <c r="C77" s="89"/>
      <c r="D77" s="90"/>
      <c r="E77" s="90"/>
      <c r="F77" s="90"/>
      <c r="G77" s="91"/>
      <c r="H77" s="86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9"/>
      <c r="B78" s="89"/>
      <c r="C78" s="89"/>
      <c r="D78" s="90"/>
      <c r="E78" s="90"/>
      <c r="F78" s="90"/>
      <c r="G78" s="91"/>
      <c r="H78" s="86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9"/>
      <c r="B79" s="89"/>
      <c r="C79" s="89"/>
      <c r="D79" s="90"/>
      <c r="E79" s="90"/>
      <c r="F79" s="90"/>
      <c r="G79" s="91"/>
      <c r="H79" s="86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9"/>
      <c r="B80" s="89"/>
      <c r="C80" s="89"/>
      <c r="D80" s="90"/>
      <c r="E80" s="90"/>
      <c r="F80" s="90"/>
      <c r="G80" s="91"/>
      <c r="H80" s="86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9"/>
      <c r="B81" s="89"/>
      <c r="C81" s="89"/>
      <c r="D81" s="90"/>
      <c r="E81" s="90"/>
      <c r="F81" s="90"/>
      <c r="G81" s="91"/>
      <c r="H81" s="86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9"/>
      <c r="B82" s="89"/>
      <c r="C82" s="89"/>
      <c r="D82" s="90"/>
      <c r="E82" s="90"/>
      <c r="F82" s="90"/>
      <c r="G82" s="91"/>
      <c r="H82" s="86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9"/>
      <c r="B83" s="89"/>
      <c r="C83" s="89"/>
      <c r="D83" s="90"/>
      <c r="E83" s="90"/>
      <c r="F83" s="90"/>
      <c r="G83" s="91"/>
      <c r="H83" s="86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9"/>
      <c r="B84" s="89"/>
      <c r="C84" s="89"/>
      <c r="D84" s="90"/>
      <c r="E84" s="90"/>
      <c r="F84" s="90"/>
      <c r="G84" s="91"/>
      <c r="H84" s="86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9"/>
      <c r="B85" s="89"/>
      <c r="C85" s="89"/>
      <c r="D85" s="90"/>
      <c r="E85" s="90"/>
      <c r="F85" s="90"/>
      <c r="G85" s="91"/>
      <c r="H85" s="86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9"/>
      <c r="B86" s="89"/>
      <c r="C86" s="89"/>
      <c r="D86" s="90"/>
      <c r="E86" s="90"/>
      <c r="F86" s="90"/>
      <c r="G86" s="91"/>
      <c r="H86" s="86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9"/>
      <c r="B87" s="89"/>
      <c r="C87" s="89"/>
      <c r="D87" s="90"/>
      <c r="E87" s="90"/>
      <c r="F87" s="90"/>
      <c r="G87" s="91"/>
      <c r="H87" s="86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9"/>
      <c r="B88" s="89"/>
      <c r="C88" s="89"/>
      <c r="D88" s="90"/>
      <c r="E88" s="90"/>
      <c r="F88" s="90"/>
      <c r="G88" s="91"/>
      <c r="H88" s="86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9"/>
      <c r="B89" s="89"/>
      <c r="C89" s="89"/>
      <c r="D89" s="90"/>
      <c r="E89" s="90"/>
      <c r="F89" s="90"/>
      <c r="G89" s="91"/>
      <c r="H89" s="86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9"/>
      <c r="B90" s="89"/>
      <c r="C90" s="89"/>
      <c r="D90" s="90"/>
      <c r="E90" s="90"/>
      <c r="F90" s="90"/>
      <c r="G90" s="91"/>
      <c r="H90" s="86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9"/>
      <c r="B91" s="89"/>
      <c r="C91" s="89"/>
      <c r="D91" s="90"/>
      <c r="E91" s="90"/>
      <c r="F91" s="90"/>
      <c r="G91" s="91"/>
      <c r="H91" s="86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9"/>
      <c r="B92" s="89"/>
      <c r="C92" s="89"/>
      <c r="D92" s="90"/>
      <c r="E92" s="90"/>
      <c r="F92" s="90"/>
      <c r="G92" s="91"/>
      <c r="H92" s="86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9"/>
      <c r="B93" s="89"/>
      <c r="C93" s="89"/>
      <c r="D93" s="90"/>
      <c r="E93" s="90"/>
      <c r="F93" s="90"/>
      <c r="G93" s="91"/>
      <c r="H93" s="86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9"/>
      <c r="B94" s="89"/>
      <c r="C94" s="89"/>
      <c r="D94" s="90"/>
      <c r="E94" s="90"/>
      <c r="F94" s="90"/>
      <c r="G94" s="91"/>
      <c r="H94" s="86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9"/>
      <c r="B95" s="89"/>
      <c r="C95" s="89"/>
      <c r="D95" s="90"/>
      <c r="E95" s="90"/>
      <c r="F95" s="90"/>
      <c r="G95" s="91"/>
      <c r="H95" s="86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9"/>
      <c r="B96" s="89"/>
      <c r="C96" s="89"/>
      <c r="D96" s="90"/>
      <c r="E96" s="90"/>
      <c r="F96" s="90"/>
      <c r="G96" s="91"/>
      <c r="H96" s="86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9"/>
      <c r="B97" s="89"/>
      <c r="C97" s="89"/>
      <c r="D97" s="90"/>
      <c r="E97" s="90"/>
      <c r="F97" s="90"/>
      <c r="G97" s="91"/>
      <c r="H97" s="86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9"/>
      <c r="B98" s="89"/>
      <c r="C98" s="89"/>
      <c r="D98" s="90"/>
      <c r="E98" s="90"/>
      <c r="F98" s="90"/>
      <c r="G98" s="91"/>
      <c r="H98" s="86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9"/>
      <c r="B99" s="89"/>
      <c r="C99" s="89"/>
      <c r="D99" s="90"/>
      <c r="E99" s="90"/>
      <c r="F99" s="90"/>
      <c r="G99" s="91"/>
      <c r="H99" s="86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9"/>
      <c r="B100" s="89"/>
      <c r="C100" s="89"/>
      <c r="D100" s="90"/>
      <c r="E100" s="90"/>
      <c r="F100" s="90"/>
      <c r="G100" s="91"/>
      <c r="H100" s="86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9"/>
      <c r="B101" s="89"/>
      <c r="C101" s="89"/>
      <c r="D101" s="90"/>
      <c r="E101" s="90"/>
      <c r="F101" s="90"/>
      <c r="G101" s="91"/>
      <c r="H101" s="86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9"/>
      <c r="B102" s="89"/>
      <c r="C102" s="89"/>
      <c r="D102" s="90"/>
      <c r="E102" s="90"/>
      <c r="F102" s="90"/>
      <c r="G102" s="91"/>
      <c r="H102" s="86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9"/>
      <c r="B103" s="89"/>
      <c r="C103" s="89"/>
      <c r="D103" s="90"/>
      <c r="E103" s="90"/>
      <c r="F103" s="90"/>
      <c r="G103" s="91"/>
      <c r="H103" s="86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9"/>
      <c r="B104" s="89"/>
      <c r="C104" s="89"/>
      <c r="D104" s="90"/>
      <c r="E104" s="90"/>
      <c r="F104" s="90"/>
      <c r="G104" s="91"/>
      <c r="H104" s="86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9"/>
      <c r="B105" s="89"/>
      <c r="C105" s="89"/>
      <c r="D105" s="90"/>
      <c r="E105" s="90"/>
      <c r="F105" s="90"/>
      <c r="G105" s="91"/>
      <c r="H105" s="86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9"/>
      <c r="B106" s="89"/>
      <c r="C106" s="89"/>
      <c r="D106" s="90"/>
      <c r="E106" s="90"/>
      <c r="F106" s="90"/>
      <c r="G106" s="91"/>
      <c r="H106" s="86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9"/>
      <c r="B107" s="89"/>
      <c r="C107" s="89"/>
      <c r="D107" s="90"/>
      <c r="E107" s="90"/>
      <c r="F107" s="90"/>
      <c r="G107" s="91"/>
      <c r="H107" s="86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9"/>
      <c r="B108" s="89"/>
      <c r="C108" s="89"/>
      <c r="D108" s="90"/>
      <c r="E108" s="90"/>
      <c r="F108" s="90"/>
      <c r="G108" s="91"/>
      <c r="H108" s="86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9"/>
      <c r="B109" s="89"/>
      <c r="C109" s="89"/>
      <c r="D109" s="90"/>
      <c r="E109" s="90"/>
      <c r="F109" s="90"/>
      <c r="G109" s="91"/>
      <c r="H109" s="86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9"/>
      <c r="B110" s="89"/>
      <c r="C110" s="89"/>
      <c r="D110" s="90"/>
      <c r="E110" s="90"/>
      <c r="F110" s="90"/>
      <c r="G110" s="91"/>
      <c r="H110" s="86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9"/>
      <c r="B111" s="89"/>
      <c r="C111" s="89"/>
      <c r="D111" s="90"/>
      <c r="E111" s="90"/>
      <c r="F111" s="90"/>
      <c r="G111" s="91"/>
      <c r="H111" s="86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9"/>
      <c r="B112" s="89"/>
      <c r="C112" s="89"/>
      <c r="D112" s="90"/>
      <c r="E112" s="90"/>
      <c r="F112" s="90"/>
      <c r="G112" s="91"/>
      <c r="H112" s="86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9"/>
      <c r="B113" s="89"/>
      <c r="C113" s="89"/>
      <c r="D113" s="90"/>
      <c r="E113" s="90"/>
      <c r="F113" s="90"/>
      <c r="G113" s="91"/>
      <c r="H113" s="86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9"/>
      <c r="B114" s="89"/>
      <c r="C114" s="89"/>
      <c r="D114" s="90"/>
      <c r="E114" s="90"/>
      <c r="F114" s="90"/>
      <c r="G114" s="91"/>
      <c r="H114" s="86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9"/>
      <c r="B115" s="89"/>
      <c r="C115" s="89"/>
      <c r="D115" s="90"/>
      <c r="E115" s="90"/>
      <c r="F115" s="90"/>
      <c r="G115" s="91"/>
      <c r="H115" s="86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9"/>
      <c r="B116" s="89"/>
      <c r="C116" s="89"/>
      <c r="D116" s="90"/>
      <c r="E116" s="90"/>
      <c r="F116" s="90"/>
      <c r="G116" s="91"/>
      <c r="H116" s="86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9"/>
      <c r="B117" s="89"/>
      <c r="C117" s="89"/>
      <c r="D117" s="90"/>
      <c r="E117" s="90"/>
      <c r="F117" s="90"/>
      <c r="G117" s="91"/>
      <c r="H117" s="86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9"/>
      <c r="B118" s="89"/>
      <c r="C118" s="89"/>
      <c r="D118" s="90"/>
      <c r="E118" s="90"/>
      <c r="F118" s="90"/>
      <c r="G118" s="91"/>
      <c r="H118" s="86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9"/>
      <c r="B119" s="89"/>
      <c r="C119" s="89"/>
      <c r="D119" s="90"/>
      <c r="E119" s="90"/>
      <c r="F119" s="90"/>
      <c r="G119" s="91"/>
      <c r="H119" s="86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9"/>
      <c r="B120" s="89"/>
      <c r="C120" s="89"/>
      <c r="D120" s="90"/>
      <c r="E120" s="90"/>
      <c r="F120" s="90"/>
      <c r="G120" s="91"/>
      <c r="H120" s="86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9"/>
      <c r="B121" s="89"/>
      <c r="C121" s="89"/>
      <c r="D121" s="90"/>
      <c r="E121" s="90"/>
      <c r="F121" s="90"/>
      <c r="G121" s="91"/>
      <c r="H121" s="86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9"/>
      <c r="B122" s="89"/>
      <c r="C122" s="89"/>
      <c r="D122" s="90"/>
      <c r="E122" s="90"/>
      <c r="F122" s="90"/>
      <c r="G122" s="91"/>
      <c r="H122" s="86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9"/>
      <c r="B123" s="89"/>
      <c r="C123" s="89"/>
      <c r="D123" s="90"/>
      <c r="E123" s="90"/>
      <c r="F123" s="90"/>
      <c r="G123" s="91"/>
      <c r="H123" s="86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9"/>
      <c r="B124" s="89"/>
      <c r="C124" s="89"/>
      <c r="D124" s="90"/>
      <c r="E124" s="90"/>
      <c r="F124" s="90"/>
      <c r="G124" s="91"/>
      <c r="H124" s="86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9"/>
      <c r="B125" s="89"/>
      <c r="C125" s="89"/>
      <c r="D125" s="90"/>
      <c r="E125" s="90"/>
      <c r="F125" s="90"/>
      <c r="G125" s="91"/>
      <c r="H125" s="86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9"/>
      <c r="B126" s="89"/>
      <c r="C126" s="89"/>
      <c r="D126" s="90"/>
      <c r="E126" s="90"/>
      <c r="F126" s="90"/>
      <c r="G126" s="91"/>
      <c r="H126" s="86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9"/>
      <c r="B127" s="89"/>
      <c r="C127" s="89"/>
      <c r="D127" s="90"/>
      <c r="E127" s="90"/>
      <c r="F127" s="90"/>
      <c r="G127" s="91"/>
      <c r="H127" s="86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9"/>
      <c r="B128" s="89"/>
      <c r="C128" s="89"/>
      <c r="D128" s="90"/>
      <c r="E128" s="90"/>
      <c r="F128" s="90"/>
      <c r="G128" s="91"/>
      <c r="H128" s="86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9"/>
      <c r="B129" s="89"/>
      <c r="C129" s="89"/>
      <c r="D129" s="90"/>
      <c r="E129" s="90"/>
      <c r="F129" s="90"/>
      <c r="G129" s="91"/>
      <c r="H129" s="86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9"/>
      <c r="B130" s="89"/>
      <c r="C130" s="89"/>
      <c r="D130" s="90"/>
      <c r="E130" s="90"/>
      <c r="F130" s="90"/>
      <c r="G130" s="91"/>
      <c r="H130" s="86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9"/>
      <c r="B131" s="89"/>
      <c r="C131" s="89"/>
      <c r="D131" s="90"/>
      <c r="E131" s="90"/>
      <c r="F131" s="90"/>
      <c r="G131" s="91"/>
      <c r="H131" s="86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9"/>
      <c r="B132" s="89"/>
      <c r="C132" s="89"/>
      <c r="D132" s="90"/>
      <c r="E132" s="90"/>
      <c r="F132" s="90"/>
      <c r="G132" s="91"/>
      <c r="H132" s="86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9"/>
      <c r="B133" s="89"/>
      <c r="C133" s="89"/>
      <c r="D133" s="90"/>
      <c r="E133" s="90"/>
      <c r="F133" s="90"/>
      <c r="G133" s="91"/>
      <c r="H133" s="86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9"/>
      <c r="B134" s="89"/>
      <c r="C134" s="89"/>
      <c r="D134" s="90"/>
      <c r="E134" s="90"/>
      <c r="F134" s="90"/>
      <c r="G134" s="91"/>
      <c r="H134" s="86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9"/>
      <c r="B135" s="89"/>
      <c r="C135" s="89"/>
      <c r="D135" s="90"/>
      <c r="E135" s="90"/>
      <c r="F135" s="90"/>
      <c r="G135" s="91"/>
      <c r="H135" s="86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9"/>
      <c r="B136" s="89"/>
      <c r="C136" s="89"/>
      <c r="D136" s="90"/>
      <c r="E136" s="90"/>
      <c r="F136" s="90"/>
      <c r="G136" s="91"/>
      <c r="H136" s="86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9"/>
      <c r="B137" s="89"/>
      <c r="C137" s="89"/>
      <c r="D137" s="90"/>
      <c r="E137" s="90"/>
      <c r="F137" s="90"/>
      <c r="G137" s="91"/>
      <c r="H137" s="86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9"/>
      <c r="B138" s="89"/>
      <c r="C138" s="89"/>
      <c r="D138" s="90"/>
      <c r="E138" s="90"/>
      <c r="F138" s="90"/>
      <c r="G138" s="91"/>
      <c r="H138" s="86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9"/>
      <c r="B139" s="89"/>
      <c r="C139" s="89"/>
      <c r="D139" s="90"/>
      <c r="E139" s="90"/>
      <c r="F139" s="90"/>
      <c r="G139" s="91"/>
      <c r="H139" s="86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9"/>
      <c r="B140" s="89"/>
      <c r="C140" s="89"/>
      <c r="D140" s="90"/>
      <c r="E140" s="90"/>
      <c r="F140" s="90"/>
      <c r="G140" s="91"/>
      <c r="H140" s="86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9"/>
      <c r="B141" s="89"/>
      <c r="C141" s="89"/>
      <c r="D141" s="90"/>
      <c r="E141" s="90"/>
      <c r="F141" s="90"/>
      <c r="G141" s="91"/>
      <c r="H141" s="86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9"/>
      <c r="B142" s="89"/>
      <c r="C142" s="89"/>
      <c r="D142" s="90"/>
      <c r="E142" s="90"/>
      <c r="F142" s="90"/>
      <c r="G142" s="91"/>
      <c r="H142" s="86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9"/>
      <c r="B143" s="89"/>
      <c r="C143" s="89"/>
      <c r="D143" s="90"/>
      <c r="E143" s="90"/>
      <c r="F143" s="90"/>
      <c r="G143" s="91"/>
      <c r="H143" s="86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9"/>
      <c r="B144" s="89"/>
      <c r="C144" s="89"/>
      <c r="D144" s="90"/>
      <c r="E144" s="90"/>
      <c r="F144" s="90"/>
      <c r="G144" s="91"/>
      <c r="H144" s="86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9"/>
      <c r="B145" s="89"/>
      <c r="C145" s="89"/>
      <c r="D145" s="90"/>
      <c r="E145" s="90"/>
      <c r="F145" s="90"/>
      <c r="G145" s="91"/>
      <c r="H145" s="86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9"/>
      <c r="B146" s="89"/>
      <c r="C146" s="89"/>
      <c r="D146" s="90"/>
      <c r="E146" s="90"/>
      <c r="F146" s="90"/>
      <c r="G146" s="91"/>
      <c r="H146" s="86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9"/>
      <c r="B147" s="89"/>
      <c r="C147" s="89"/>
      <c r="D147" s="90"/>
      <c r="E147" s="90"/>
      <c r="F147" s="90"/>
      <c r="G147" s="91"/>
      <c r="H147" s="86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9"/>
      <c r="B148" s="89"/>
      <c r="C148" s="89"/>
      <c r="D148" s="90"/>
      <c r="E148" s="90"/>
      <c r="F148" s="90"/>
      <c r="G148" s="91"/>
      <c r="H148" s="86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9"/>
      <c r="B149" s="89"/>
      <c r="C149" s="89"/>
      <c r="D149" s="90"/>
      <c r="E149" s="90"/>
      <c r="F149" s="90"/>
      <c r="G149" s="91"/>
      <c r="H149" s="86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9"/>
      <c r="B150" s="89"/>
      <c r="C150" s="89"/>
      <c r="D150" s="90"/>
      <c r="E150" s="90"/>
      <c r="F150" s="90"/>
      <c r="G150" s="91"/>
      <c r="H150" s="86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9"/>
      <c r="B151" s="89"/>
      <c r="C151" s="89"/>
      <c r="D151" s="90"/>
      <c r="E151" s="90"/>
      <c r="F151" s="90"/>
      <c r="G151" s="91"/>
      <c r="H151" s="86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9"/>
      <c r="B152" s="89"/>
      <c r="C152" s="89"/>
      <c r="D152" s="90"/>
      <c r="E152" s="90"/>
      <c r="F152" s="90"/>
      <c r="G152" s="91"/>
      <c r="H152" s="86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9"/>
      <c r="B153" s="89"/>
      <c r="C153" s="89"/>
      <c r="D153" s="90"/>
      <c r="E153" s="90"/>
      <c r="F153" s="90"/>
      <c r="G153" s="91"/>
      <c r="H153" s="86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9"/>
      <c r="B154" s="89"/>
      <c r="C154" s="89"/>
      <c r="D154" s="90"/>
      <c r="E154" s="90"/>
      <c r="F154" s="90"/>
      <c r="G154" s="91"/>
      <c r="H154" s="86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9"/>
      <c r="B155" s="89"/>
      <c r="C155" s="89"/>
      <c r="D155" s="90"/>
      <c r="E155" s="90"/>
      <c r="F155" s="90"/>
      <c r="G155" s="91"/>
      <c r="H155" s="86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9"/>
      <c r="B156" s="89"/>
      <c r="C156" s="89"/>
      <c r="D156" s="90"/>
      <c r="E156" s="90"/>
      <c r="F156" s="90"/>
      <c r="G156" s="91"/>
      <c r="H156" s="86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9"/>
      <c r="B157" s="89"/>
      <c r="C157" s="89"/>
      <c r="D157" s="90"/>
      <c r="E157" s="90"/>
      <c r="F157" s="90"/>
      <c r="G157" s="91"/>
      <c r="H157" s="86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9"/>
      <c r="B158" s="89"/>
      <c r="C158" s="89"/>
      <c r="D158" s="90"/>
      <c r="E158" s="90"/>
      <c r="F158" s="90"/>
      <c r="G158" s="91"/>
      <c r="H158" s="86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9"/>
      <c r="B159" s="89"/>
      <c r="C159" s="89"/>
      <c r="D159" s="90"/>
      <c r="E159" s="90"/>
      <c r="F159" s="90"/>
      <c r="G159" s="91"/>
      <c r="H159" s="86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9"/>
      <c r="B160" s="89"/>
      <c r="C160" s="89"/>
      <c r="D160" s="90"/>
      <c r="E160" s="90"/>
      <c r="F160" s="90"/>
      <c r="G160" s="91"/>
      <c r="H160" s="86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9"/>
      <c r="B161" s="89"/>
      <c r="C161" s="89"/>
      <c r="D161" s="90"/>
      <c r="E161" s="90"/>
      <c r="F161" s="90"/>
      <c r="G161" s="91"/>
      <c r="H161" s="86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9"/>
      <c r="B162" s="89"/>
      <c r="C162" s="89"/>
      <c r="D162" s="90"/>
      <c r="E162" s="90"/>
      <c r="F162" s="90"/>
      <c r="G162" s="91"/>
      <c r="H162" s="86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9"/>
      <c r="B163" s="89"/>
      <c r="C163" s="89"/>
      <c r="D163" s="90"/>
      <c r="E163" s="90"/>
      <c r="F163" s="90"/>
      <c r="G163" s="91"/>
      <c r="H163" s="86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9"/>
      <c r="B164" s="89"/>
      <c r="C164" s="89"/>
      <c r="D164" s="90"/>
      <c r="E164" s="90"/>
      <c r="F164" s="90"/>
      <c r="G164" s="91"/>
      <c r="H164" s="86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9"/>
      <c r="B165" s="89"/>
      <c r="C165" s="89"/>
      <c r="D165" s="90"/>
      <c r="E165" s="90"/>
      <c r="F165" s="90"/>
      <c r="G165" s="91"/>
      <c r="H165" s="86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9"/>
      <c r="B166" s="89"/>
      <c r="C166" s="89"/>
      <c r="D166" s="90"/>
      <c r="E166" s="90"/>
      <c r="F166" s="90"/>
      <c r="G166" s="91"/>
      <c r="H166" s="86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9"/>
      <c r="B167" s="89"/>
      <c r="C167" s="89"/>
      <c r="D167" s="90"/>
      <c r="E167" s="90"/>
      <c r="F167" s="90"/>
      <c r="G167" s="91"/>
      <c r="H167" s="86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9"/>
      <c r="B168" s="89"/>
      <c r="C168" s="89"/>
      <c r="D168" s="90"/>
      <c r="E168" s="90"/>
      <c r="F168" s="90"/>
      <c r="G168" s="91"/>
      <c r="H168" s="86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9"/>
      <c r="B169" s="89"/>
      <c r="C169" s="89"/>
      <c r="D169" s="90"/>
      <c r="E169" s="90"/>
      <c r="F169" s="90"/>
      <c r="G169" s="91"/>
      <c r="H169" s="86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9"/>
      <c r="B170" s="89"/>
      <c r="C170" s="89"/>
      <c r="D170" s="90"/>
      <c r="E170" s="90"/>
      <c r="F170" s="90"/>
      <c r="G170" s="91"/>
      <c r="H170" s="86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9"/>
      <c r="B171" s="89"/>
      <c r="C171" s="89"/>
      <c r="D171" s="90"/>
      <c r="E171" s="90"/>
      <c r="F171" s="90"/>
      <c r="G171" s="91"/>
      <c r="H171" s="86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9"/>
      <c r="B172" s="89"/>
      <c r="C172" s="89"/>
      <c r="D172" s="90"/>
      <c r="E172" s="90"/>
      <c r="F172" s="90"/>
      <c r="G172" s="91"/>
      <c r="H172" s="86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9"/>
      <c r="B173" s="89"/>
      <c r="C173" s="89"/>
      <c r="D173" s="90"/>
      <c r="E173" s="90"/>
      <c r="F173" s="90"/>
      <c r="G173" s="91"/>
      <c r="H173" s="86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9"/>
      <c r="B174" s="89"/>
      <c r="C174" s="89"/>
      <c r="D174" s="90"/>
      <c r="E174" s="90"/>
      <c r="F174" s="90"/>
      <c r="G174" s="91"/>
      <c r="H174" s="86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9"/>
      <c r="B175" s="89"/>
      <c r="C175" s="89"/>
      <c r="D175" s="90"/>
      <c r="E175" s="90"/>
      <c r="F175" s="90"/>
      <c r="G175" s="91"/>
      <c r="H175" s="86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9"/>
      <c r="B176" s="89"/>
      <c r="C176" s="89"/>
      <c r="D176" s="90"/>
      <c r="E176" s="90"/>
      <c r="F176" s="90"/>
      <c r="G176" s="91"/>
      <c r="H176" s="86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9"/>
      <c r="B177" s="89"/>
      <c r="C177" s="89"/>
      <c r="D177" s="90"/>
      <c r="E177" s="90"/>
      <c r="F177" s="90"/>
      <c r="G177" s="91"/>
      <c r="H177" s="86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9"/>
      <c r="B178" s="89"/>
      <c r="C178" s="89"/>
      <c r="D178" s="90"/>
      <c r="E178" s="90"/>
      <c r="F178" s="90"/>
      <c r="G178" s="91"/>
      <c r="H178" s="86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9"/>
      <c r="B179" s="89"/>
      <c r="C179" s="89"/>
      <c r="D179" s="90"/>
      <c r="E179" s="90"/>
      <c r="F179" s="90"/>
      <c r="G179" s="91"/>
      <c r="H179" s="86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9"/>
      <c r="B180" s="89"/>
      <c r="C180" s="89"/>
      <c r="D180" s="90"/>
      <c r="E180" s="90"/>
      <c r="F180" s="90"/>
      <c r="G180" s="91"/>
      <c r="H180" s="86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9"/>
      <c r="B181" s="89"/>
      <c r="C181" s="89"/>
      <c r="D181" s="90"/>
      <c r="E181" s="90"/>
      <c r="F181" s="90"/>
      <c r="G181" s="91"/>
      <c r="H181" s="86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9"/>
      <c r="B182" s="89"/>
      <c r="C182" s="89"/>
      <c r="D182" s="90"/>
      <c r="E182" s="90"/>
      <c r="F182" s="90"/>
      <c r="G182" s="91"/>
      <c r="H182" s="86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9"/>
      <c r="B183" s="89"/>
      <c r="C183" s="89"/>
      <c r="D183" s="90"/>
      <c r="E183" s="90"/>
      <c r="F183" s="90"/>
      <c r="G183" s="91"/>
      <c r="H183" s="86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9"/>
      <c r="B184" s="89"/>
      <c r="C184" s="89"/>
      <c r="D184" s="90"/>
      <c r="E184" s="90"/>
      <c r="F184" s="90"/>
      <c r="G184" s="91"/>
      <c r="H184" s="86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9"/>
      <c r="B185" s="89"/>
      <c r="C185" s="89"/>
      <c r="D185" s="90"/>
      <c r="E185" s="90"/>
      <c r="F185" s="90"/>
      <c r="G185" s="91"/>
      <c r="H185" s="86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9"/>
      <c r="B186" s="89"/>
      <c r="C186" s="89"/>
      <c r="D186" s="90"/>
      <c r="E186" s="90"/>
      <c r="F186" s="90"/>
      <c r="G186" s="91"/>
      <c r="H186" s="86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9"/>
      <c r="B187" s="89"/>
      <c r="C187" s="89"/>
      <c r="D187" s="90"/>
      <c r="E187" s="90"/>
      <c r="F187" s="90"/>
      <c r="G187" s="91"/>
      <c r="H187" s="86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9"/>
      <c r="B188" s="89"/>
      <c r="C188" s="89"/>
      <c r="D188" s="90"/>
      <c r="E188" s="90"/>
      <c r="F188" s="90"/>
      <c r="G188" s="91"/>
      <c r="H188" s="86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9"/>
      <c r="B189" s="89"/>
      <c r="C189" s="89"/>
      <c r="D189" s="90"/>
      <c r="E189" s="90"/>
      <c r="F189" s="90"/>
      <c r="G189" s="91"/>
      <c r="H189" s="86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9"/>
      <c r="B190" s="89"/>
      <c r="C190" s="89"/>
      <c r="D190" s="90"/>
      <c r="E190" s="90"/>
      <c r="F190" s="90"/>
      <c r="G190" s="91"/>
      <c r="H190" s="86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9"/>
      <c r="B191" s="89"/>
      <c r="C191" s="89"/>
      <c r="D191" s="90"/>
      <c r="E191" s="90"/>
      <c r="F191" s="90"/>
      <c r="G191" s="91"/>
      <c r="H191" s="86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9"/>
      <c r="B192" s="89"/>
      <c r="C192" s="89"/>
      <c r="D192" s="90"/>
      <c r="E192" s="90"/>
      <c r="F192" s="90"/>
      <c r="G192" s="91"/>
      <c r="H192" s="86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9"/>
      <c r="B193" s="89"/>
      <c r="C193" s="89"/>
      <c r="D193" s="90"/>
      <c r="E193" s="90"/>
      <c r="F193" s="90"/>
      <c r="G193" s="91"/>
      <c r="H193" s="86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9"/>
      <c r="B194" s="89"/>
      <c r="C194" s="89"/>
      <c r="D194" s="90"/>
      <c r="E194" s="90"/>
      <c r="F194" s="90"/>
      <c r="G194" s="91"/>
      <c r="H194" s="86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9"/>
      <c r="B195" s="89"/>
      <c r="C195" s="89"/>
      <c r="D195" s="90"/>
      <c r="E195" s="90"/>
      <c r="F195" s="90"/>
      <c r="G195" s="91"/>
      <c r="H195" s="86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9"/>
      <c r="B196" s="89"/>
      <c r="C196" s="89"/>
      <c r="D196" s="90"/>
      <c r="E196" s="90"/>
      <c r="F196" s="90"/>
      <c r="G196" s="91"/>
      <c r="H196" s="86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9"/>
      <c r="B197" s="89"/>
      <c r="C197" s="89"/>
      <c r="D197" s="90"/>
      <c r="E197" s="90"/>
      <c r="F197" s="90"/>
      <c r="G197" s="91"/>
      <c r="H197" s="86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9"/>
      <c r="B198" s="89"/>
      <c r="C198" s="89"/>
      <c r="D198" s="90"/>
      <c r="E198" s="90"/>
      <c r="F198" s="90"/>
      <c r="G198" s="91"/>
      <c r="H198" s="86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9"/>
      <c r="B199" s="89"/>
      <c r="C199" s="89"/>
      <c r="D199" s="90"/>
      <c r="E199" s="90"/>
      <c r="F199" s="90"/>
      <c r="G199" s="91"/>
      <c r="H199" s="86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9"/>
      <c r="B200" s="89"/>
      <c r="C200" s="89"/>
      <c r="D200" s="90"/>
      <c r="E200" s="90"/>
      <c r="F200" s="90"/>
      <c r="G200" s="91"/>
      <c r="H200" s="86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9"/>
      <c r="B201" s="89"/>
      <c r="C201" s="89"/>
      <c r="D201" s="90"/>
      <c r="E201" s="90"/>
      <c r="F201" s="90"/>
      <c r="G201" s="91"/>
      <c r="H201" s="86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9"/>
      <c r="B202" s="89"/>
      <c r="C202" s="89"/>
      <c r="D202" s="90"/>
      <c r="E202" s="90"/>
      <c r="F202" s="90"/>
      <c r="G202" s="91"/>
      <c r="H202" s="86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9"/>
      <c r="B203" s="89"/>
      <c r="C203" s="89"/>
      <c r="D203" s="90"/>
      <c r="E203" s="90"/>
      <c r="F203" s="90"/>
      <c r="G203" s="91"/>
      <c r="H203" s="86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9"/>
      <c r="B204" s="89"/>
      <c r="C204" s="89"/>
      <c r="D204" s="90"/>
      <c r="E204" s="90"/>
      <c r="F204" s="90"/>
      <c r="G204" s="91"/>
      <c r="H204" s="86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9"/>
      <c r="B205" s="89"/>
      <c r="C205" s="89"/>
      <c r="D205" s="90"/>
      <c r="E205" s="90"/>
      <c r="F205" s="90"/>
      <c r="G205" s="91"/>
      <c r="H205" s="86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9"/>
      <c r="B206" s="89"/>
      <c r="C206" s="89"/>
      <c r="D206" s="90"/>
      <c r="E206" s="90"/>
      <c r="F206" s="90"/>
      <c r="G206" s="91"/>
      <c r="H206" s="86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9"/>
      <c r="B207" s="89"/>
      <c r="C207" s="89"/>
      <c r="D207" s="90"/>
      <c r="E207" s="90"/>
      <c r="F207" s="90"/>
      <c r="G207" s="91"/>
      <c r="H207" s="86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9"/>
      <c r="B208" s="89"/>
      <c r="C208" s="89"/>
      <c r="D208" s="90"/>
      <c r="E208" s="90"/>
      <c r="F208" s="90"/>
      <c r="G208" s="91"/>
      <c r="H208" s="86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9"/>
      <c r="B209" s="89"/>
      <c r="C209" s="89"/>
      <c r="D209" s="90"/>
      <c r="E209" s="90"/>
      <c r="F209" s="90"/>
      <c r="G209" s="91"/>
      <c r="H209" s="86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9"/>
      <c r="B210" s="89"/>
      <c r="C210" s="89"/>
      <c r="D210" s="90"/>
      <c r="E210" s="90"/>
      <c r="F210" s="90"/>
      <c r="G210" s="91"/>
      <c r="H210" s="86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9"/>
      <c r="B211" s="89"/>
      <c r="C211" s="89"/>
      <c r="D211" s="90"/>
      <c r="E211" s="90"/>
      <c r="F211" s="90"/>
      <c r="G211" s="91"/>
      <c r="H211" s="86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9"/>
      <c r="B212" s="89"/>
      <c r="C212" s="89"/>
      <c r="D212" s="90"/>
      <c r="E212" s="90"/>
      <c r="F212" s="90"/>
      <c r="G212" s="91"/>
      <c r="H212" s="86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9"/>
      <c r="B213" s="89"/>
      <c r="C213" s="89"/>
      <c r="D213" s="90"/>
      <c r="E213" s="90"/>
      <c r="F213" s="90"/>
      <c r="G213" s="91"/>
      <c r="H213" s="86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9"/>
      <c r="B214" s="89"/>
      <c r="C214" s="89"/>
      <c r="D214" s="90"/>
      <c r="E214" s="90"/>
      <c r="F214" s="90"/>
      <c r="G214" s="91"/>
      <c r="H214" s="86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9"/>
      <c r="B215" s="89"/>
      <c r="C215" s="89"/>
      <c r="D215" s="90"/>
      <c r="E215" s="90"/>
      <c r="F215" s="90"/>
      <c r="G215" s="91"/>
      <c r="H215" s="86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9"/>
      <c r="B216" s="89"/>
      <c r="C216" s="89"/>
      <c r="D216" s="90"/>
      <c r="E216" s="90"/>
      <c r="F216" s="90"/>
      <c r="G216" s="91"/>
      <c r="H216" s="86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9"/>
      <c r="B217" s="89"/>
      <c r="C217" s="89"/>
      <c r="D217" s="90"/>
      <c r="E217" s="90"/>
      <c r="F217" s="90"/>
      <c r="G217" s="91"/>
      <c r="H217" s="86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9"/>
      <c r="B218" s="89"/>
      <c r="C218" s="89"/>
      <c r="D218" s="90"/>
      <c r="E218" s="90"/>
      <c r="F218" s="90"/>
      <c r="G218" s="91"/>
      <c r="H218" s="86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9"/>
      <c r="B219" s="89"/>
      <c r="C219" s="89"/>
      <c r="D219" s="90"/>
      <c r="E219" s="90"/>
      <c r="F219" s="90"/>
      <c r="G219" s="91"/>
      <c r="H219" s="86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9"/>
      <c r="B220" s="89"/>
      <c r="C220" s="89"/>
      <c r="D220" s="90"/>
      <c r="E220" s="90"/>
      <c r="F220" s="90"/>
      <c r="G220" s="91"/>
      <c r="H220" s="86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9"/>
      <c r="B221" s="89"/>
      <c r="C221" s="89"/>
      <c r="D221" s="90"/>
      <c r="E221" s="90"/>
      <c r="F221" s="90"/>
      <c r="G221" s="91"/>
      <c r="H221" s="86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9"/>
      <c r="B222" s="89"/>
      <c r="C222" s="89"/>
      <c r="D222" s="90"/>
      <c r="E222" s="90"/>
      <c r="F222" s="90"/>
      <c r="G222" s="91"/>
      <c r="H222" s="86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9"/>
      <c r="B223" s="89"/>
      <c r="C223" s="89"/>
      <c r="D223" s="90"/>
      <c r="E223" s="90"/>
      <c r="F223" s="90"/>
      <c r="G223" s="91"/>
      <c r="H223" s="86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9"/>
      <c r="B224" s="89"/>
      <c r="C224" s="89"/>
      <c r="D224" s="90"/>
      <c r="E224" s="90"/>
      <c r="F224" s="90"/>
      <c r="G224" s="91"/>
      <c r="H224" s="86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9"/>
      <c r="B225" s="89"/>
      <c r="C225" s="89"/>
      <c r="D225" s="90"/>
      <c r="E225" s="90"/>
      <c r="F225" s="90"/>
      <c r="G225" s="91"/>
      <c r="H225" s="86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9"/>
      <c r="B226" s="89"/>
      <c r="C226" s="89"/>
      <c r="D226" s="90"/>
      <c r="E226" s="90"/>
      <c r="F226" s="90"/>
      <c r="G226" s="91"/>
      <c r="H226" s="86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9"/>
      <c r="B227" s="89"/>
      <c r="C227" s="89"/>
      <c r="D227" s="90"/>
      <c r="E227" s="90"/>
      <c r="F227" s="90"/>
      <c r="G227" s="91"/>
      <c r="H227" s="86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9"/>
      <c r="B228" s="89"/>
      <c r="C228" s="89"/>
      <c r="D228" s="90"/>
      <c r="E228" s="90"/>
      <c r="F228" s="90"/>
      <c r="G228" s="91"/>
      <c r="H228" s="86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9"/>
      <c r="B229" s="89"/>
      <c r="C229" s="89"/>
      <c r="D229" s="90"/>
      <c r="E229" s="90"/>
      <c r="F229" s="90"/>
      <c r="G229" s="91"/>
      <c r="H229" s="86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9"/>
      <c r="B230" s="89"/>
      <c r="C230" s="89"/>
      <c r="D230" s="90"/>
      <c r="E230" s="90"/>
      <c r="F230" s="90"/>
      <c r="G230" s="91"/>
      <c r="H230" s="86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9"/>
      <c r="B231" s="89"/>
      <c r="C231" s="89"/>
      <c r="D231" s="90"/>
      <c r="E231" s="90"/>
      <c r="F231" s="90"/>
      <c r="G231" s="91"/>
      <c r="H231" s="86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9"/>
      <c r="B232" s="89"/>
      <c r="C232" s="89"/>
      <c r="D232" s="90"/>
      <c r="E232" s="90"/>
      <c r="F232" s="90"/>
      <c r="G232" s="91"/>
      <c r="H232" s="86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9"/>
      <c r="B233" s="89"/>
      <c r="C233" s="89"/>
      <c r="D233" s="90"/>
      <c r="E233" s="90"/>
      <c r="F233" s="90"/>
      <c r="G233" s="91"/>
      <c r="H233" s="86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9"/>
      <c r="B234" s="89"/>
      <c r="C234" s="89"/>
      <c r="D234" s="90"/>
      <c r="E234" s="90"/>
      <c r="F234" s="90"/>
      <c r="G234" s="91"/>
      <c r="H234" s="86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9"/>
      <c r="B235" s="89"/>
      <c r="C235" s="89"/>
      <c r="D235" s="90"/>
      <c r="E235" s="90"/>
      <c r="F235" s="90"/>
      <c r="G235" s="91"/>
      <c r="H235" s="86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9"/>
      <c r="B236" s="89"/>
      <c r="C236" s="89"/>
      <c r="D236" s="90"/>
      <c r="E236" s="90"/>
      <c r="F236" s="90"/>
      <c r="G236" s="91"/>
      <c r="H236" s="86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9"/>
      <c r="B237" s="89"/>
      <c r="C237" s="89"/>
      <c r="D237" s="90"/>
      <c r="E237" s="90"/>
      <c r="F237" s="90"/>
      <c r="G237" s="91"/>
      <c r="H237" s="86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9"/>
      <c r="B238" s="89"/>
      <c r="C238" s="89"/>
      <c r="D238" s="90"/>
      <c r="E238" s="90"/>
      <c r="F238" s="90"/>
      <c r="G238" s="91"/>
      <c r="H238" s="86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9"/>
      <c r="B239" s="89"/>
      <c r="C239" s="89"/>
      <c r="D239" s="90"/>
      <c r="E239" s="90"/>
      <c r="F239" s="90"/>
      <c r="G239" s="91"/>
      <c r="H239" s="86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9"/>
      <c r="B240" s="89"/>
      <c r="C240" s="89"/>
      <c r="D240" s="90"/>
      <c r="E240" s="90"/>
      <c r="F240" s="90"/>
      <c r="G240" s="91"/>
      <c r="H240" s="86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9"/>
      <c r="B241" s="89"/>
      <c r="C241" s="89"/>
      <c r="D241" s="90"/>
      <c r="E241" s="90"/>
      <c r="F241" s="90"/>
      <c r="G241" s="91"/>
      <c r="H241" s="86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9"/>
      <c r="B242" s="89"/>
      <c r="C242" s="89"/>
      <c r="D242" s="90"/>
      <c r="E242" s="90"/>
      <c r="F242" s="90"/>
      <c r="G242" s="91"/>
      <c r="H242" s="86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9"/>
      <c r="B243" s="89"/>
      <c r="C243" s="89"/>
      <c r="D243" s="90"/>
      <c r="E243" s="90"/>
      <c r="F243" s="90"/>
      <c r="G243" s="91"/>
      <c r="H243" s="8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9"/>
      <c r="B244" s="89"/>
      <c r="C244" s="89"/>
      <c r="D244" s="90"/>
      <c r="E244" s="90"/>
      <c r="F244" s="90"/>
      <c r="G244" s="91"/>
      <c r="H244" s="86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9"/>
      <c r="B245" s="89"/>
      <c r="C245" s="89"/>
      <c r="D245" s="90"/>
      <c r="E245" s="90"/>
      <c r="F245" s="90"/>
      <c r="G245" s="91"/>
      <c r="H245" s="86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9"/>
      <c r="B246" s="89"/>
      <c r="C246" s="89"/>
      <c r="D246" s="90"/>
      <c r="E246" s="90"/>
      <c r="F246" s="90"/>
      <c r="G246" s="91"/>
      <c r="H246" s="86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9"/>
      <c r="B247" s="89"/>
      <c r="C247" s="89"/>
      <c r="D247" s="90"/>
      <c r="E247" s="90"/>
      <c r="F247" s="90"/>
      <c r="G247" s="91"/>
      <c r="H247" s="86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9"/>
      <c r="B248" s="89"/>
      <c r="C248" s="89"/>
      <c r="D248" s="90"/>
      <c r="E248" s="90"/>
      <c r="F248" s="90"/>
      <c r="G248" s="91"/>
      <c r="H248" s="86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9"/>
      <c r="B249" s="89"/>
      <c r="C249" s="89"/>
      <c r="D249" s="90"/>
      <c r="E249" s="90"/>
      <c r="F249" s="90"/>
      <c r="G249" s="91"/>
      <c r="H249" s="86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9"/>
      <c r="B250" s="89"/>
      <c r="C250" s="89"/>
      <c r="D250" s="90"/>
      <c r="E250" s="90"/>
      <c r="F250" s="90"/>
      <c r="G250" s="91"/>
      <c r="H250" s="86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9"/>
      <c r="B251" s="89"/>
      <c r="C251" s="89"/>
      <c r="D251" s="90"/>
      <c r="E251" s="90"/>
      <c r="F251" s="90"/>
      <c r="G251" s="91"/>
      <c r="H251" s="86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9"/>
      <c r="B252" s="89"/>
      <c r="C252" s="89"/>
      <c r="D252" s="90"/>
      <c r="E252" s="90"/>
      <c r="F252" s="90"/>
      <c r="G252" s="91"/>
      <c r="H252" s="86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9"/>
      <c r="B253" s="89"/>
      <c r="C253" s="89"/>
      <c r="D253" s="90"/>
      <c r="E253" s="90"/>
      <c r="F253" s="90"/>
      <c r="G253" s="91"/>
      <c r="H253" s="86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9"/>
      <c r="B254" s="89"/>
      <c r="C254" s="89"/>
      <c r="D254" s="90"/>
      <c r="E254" s="90"/>
      <c r="F254" s="90"/>
      <c r="G254" s="91"/>
      <c r="H254" s="86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9"/>
      <c r="B255" s="89"/>
      <c r="C255" s="89"/>
      <c r="D255" s="90"/>
      <c r="E255" s="90"/>
      <c r="F255" s="90"/>
      <c r="G255" s="91"/>
      <c r="H255" s="86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9"/>
      <c r="B256" s="89"/>
      <c r="C256" s="89"/>
      <c r="D256" s="90"/>
      <c r="E256" s="90"/>
      <c r="F256" s="90"/>
      <c r="G256" s="91"/>
      <c r="H256" s="86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9"/>
      <c r="B257" s="89"/>
      <c r="C257" s="89"/>
      <c r="D257" s="90"/>
      <c r="E257" s="90"/>
      <c r="F257" s="90"/>
      <c r="G257" s="91"/>
      <c r="H257" s="86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9"/>
      <c r="B258" s="89"/>
      <c r="C258" s="89"/>
      <c r="D258" s="90"/>
      <c r="E258" s="90"/>
      <c r="F258" s="90"/>
      <c r="G258" s="91"/>
      <c r="H258" s="86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9"/>
      <c r="B259" s="89"/>
      <c r="C259" s="89"/>
      <c r="D259" s="90"/>
      <c r="E259" s="90"/>
      <c r="F259" s="90"/>
      <c r="G259" s="91"/>
      <c r="H259" s="86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9"/>
      <c r="B260" s="89"/>
      <c r="C260" s="89"/>
      <c r="D260" s="90"/>
      <c r="E260" s="90"/>
      <c r="F260" s="90"/>
      <c r="G260" s="91"/>
      <c r="H260" s="86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9"/>
      <c r="B261" s="89"/>
      <c r="C261" s="89"/>
      <c r="D261" s="90"/>
      <c r="E261" s="90"/>
      <c r="F261" s="90"/>
      <c r="G261" s="91"/>
      <c r="H261" s="86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9"/>
      <c r="B262" s="89"/>
      <c r="C262" s="89"/>
      <c r="D262" s="90"/>
      <c r="E262" s="90"/>
      <c r="F262" s="90"/>
      <c r="G262" s="91"/>
      <c r="H262" s="86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9"/>
      <c r="B263" s="89"/>
      <c r="C263" s="89"/>
      <c r="D263" s="90"/>
      <c r="E263" s="90"/>
      <c r="F263" s="90"/>
      <c r="G263" s="91"/>
      <c r="H263" s="86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9"/>
      <c r="B264" s="89"/>
      <c r="C264" s="89"/>
      <c r="D264" s="90"/>
      <c r="E264" s="90"/>
      <c r="F264" s="90"/>
      <c r="G264" s="91"/>
      <c r="H264" s="86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9"/>
      <c r="B265" s="89"/>
      <c r="C265" s="89"/>
      <c r="D265" s="90"/>
      <c r="E265" s="90"/>
      <c r="F265" s="90"/>
      <c r="G265" s="91"/>
      <c r="H265" s="86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9"/>
      <c r="B266" s="89"/>
      <c r="C266" s="89"/>
      <c r="D266" s="90"/>
      <c r="E266" s="90"/>
      <c r="F266" s="90"/>
      <c r="G266" s="91"/>
      <c r="H266" s="86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9"/>
      <c r="B267" s="89"/>
      <c r="C267" s="89"/>
      <c r="D267" s="90"/>
      <c r="E267" s="90"/>
      <c r="F267" s="90"/>
      <c r="G267" s="91"/>
      <c r="H267" s="86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9"/>
      <c r="B268" s="89"/>
      <c r="C268" s="89"/>
      <c r="D268" s="90"/>
      <c r="E268" s="90"/>
      <c r="F268" s="90"/>
      <c r="G268" s="91"/>
      <c r="H268" s="86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9"/>
      <c r="B269" s="89"/>
      <c r="C269" s="89"/>
      <c r="D269" s="90"/>
      <c r="E269" s="90"/>
      <c r="F269" s="90"/>
      <c r="G269" s="91"/>
      <c r="H269" s="86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9"/>
      <c r="B270" s="89"/>
      <c r="C270" s="89"/>
      <c r="D270" s="90"/>
      <c r="E270" s="90"/>
      <c r="F270" s="90"/>
      <c r="G270" s="91"/>
      <c r="H270" s="86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9"/>
      <c r="B271" s="89"/>
      <c r="C271" s="89"/>
      <c r="D271" s="90"/>
      <c r="E271" s="90"/>
      <c r="F271" s="90"/>
      <c r="G271" s="91"/>
      <c r="H271" s="86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9"/>
      <c r="B272" s="89"/>
      <c r="C272" s="89"/>
      <c r="D272" s="90"/>
      <c r="E272" s="90"/>
      <c r="F272" s="90"/>
      <c r="G272" s="91"/>
      <c r="H272" s="86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9"/>
      <c r="B273" s="89"/>
      <c r="C273" s="89"/>
      <c r="D273" s="90"/>
      <c r="E273" s="90"/>
      <c r="F273" s="90"/>
      <c r="G273" s="91"/>
      <c r="H273" s="86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9"/>
      <c r="B274" s="89"/>
      <c r="C274" s="89"/>
      <c r="D274" s="90"/>
      <c r="E274" s="90"/>
      <c r="F274" s="90"/>
      <c r="G274" s="91"/>
      <c r="H274" s="86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9"/>
      <c r="B275" s="89"/>
      <c r="C275" s="89"/>
      <c r="D275" s="90"/>
      <c r="E275" s="90"/>
      <c r="F275" s="90"/>
      <c r="G275" s="91"/>
      <c r="H275" s="86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9"/>
      <c r="B276" s="89"/>
      <c r="C276" s="89"/>
      <c r="D276" s="90"/>
      <c r="E276" s="90"/>
      <c r="F276" s="90"/>
      <c r="G276" s="91"/>
      <c r="H276" s="86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9"/>
      <c r="B277" s="89"/>
      <c r="C277" s="89"/>
      <c r="D277" s="90"/>
      <c r="E277" s="90"/>
      <c r="F277" s="90"/>
      <c r="G277" s="91"/>
      <c r="H277" s="86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9"/>
      <c r="B278" s="89"/>
      <c r="C278" s="89"/>
      <c r="D278" s="90"/>
      <c r="E278" s="90"/>
      <c r="F278" s="90"/>
      <c r="G278" s="91"/>
      <c r="H278" s="86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9"/>
      <c r="B279" s="89"/>
      <c r="C279" s="89"/>
      <c r="D279" s="90"/>
      <c r="E279" s="90"/>
      <c r="F279" s="90"/>
      <c r="G279" s="91"/>
      <c r="H279" s="86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9"/>
      <c r="B280" s="89"/>
      <c r="C280" s="89"/>
      <c r="D280" s="90"/>
      <c r="E280" s="90"/>
      <c r="F280" s="90"/>
      <c r="G280" s="91"/>
      <c r="H280" s="86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9"/>
      <c r="B281" s="89"/>
      <c r="C281" s="89"/>
      <c r="D281" s="90"/>
      <c r="E281" s="90"/>
      <c r="F281" s="90"/>
      <c r="G281" s="91"/>
      <c r="H281" s="86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9"/>
      <c r="B282" s="89"/>
      <c r="C282" s="89"/>
      <c r="D282" s="90"/>
      <c r="E282" s="90"/>
      <c r="F282" s="90"/>
      <c r="G282" s="91"/>
      <c r="H282" s="86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9"/>
      <c r="B283" s="89"/>
      <c r="C283" s="89"/>
      <c r="D283" s="90"/>
      <c r="E283" s="90"/>
      <c r="F283" s="90"/>
      <c r="G283" s="91"/>
      <c r="H283" s="86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9"/>
      <c r="B284" s="89"/>
      <c r="C284" s="89"/>
      <c r="D284" s="90"/>
      <c r="E284" s="90"/>
      <c r="F284" s="90"/>
      <c r="G284" s="91"/>
      <c r="H284" s="86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9"/>
      <c r="B285" s="89"/>
      <c r="C285" s="89"/>
      <c r="D285" s="90"/>
      <c r="E285" s="90"/>
      <c r="F285" s="90"/>
      <c r="G285" s="91"/>
      <c r="H285" s="86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9"/>
      <c r="B286" s="89"/>
      <c r="C286" s="89"/>
      <c r="D286" s="90"/>
      <c r="E286" s="90"/>
      <c r="F286" s="90"/>
      <c r="G286" s="91"/>
      <c r="H286" s="86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9"/>
      <c r="B287" s="89"/>
      <c r="C287" s="89"/>
      <c r="D287" s="90"/>
      <c r="E287" s="90"/>
      <c r="F287" s="90"/>
      <c r="G287" s="91"/>
      <c r="H287" s="86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9"/>
      <c r="B288" s="89"/>
      <c r="C288" s="89"/>
      <c r="D288" s="90"/>
      <c r="E288" s="90"/>
      <c r="F288" s="90"/>
      <c r="G288" s="91"/>
      <c r="H288" s="86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9"/>
      <c r="B289" s="89"/>
      <c r="C289" s="89"/>
      <c r="D289" s="90"/>
      <c r="E289" s="90"/>
      <c r="F289" s="90"/>
      <c r="G289" s="91"/>
      <c r="H289" s="86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9"/>
      <c r="B290" s="89"/>
      <c r="C290" s="89"/>
      <c r="D290" s="90"/>
      <c r="E290" s="90"/>
      <c r="F290" s="90"/>
      <c r="G290" s="91"/>
      <c r="H290" s="86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9"/>
      <c r="B291" s="89"/>
      <c r="C291" s="89"/>
      <c r="D291" s="90"/>
      <c r="E291" s="90"/>
      <c r="F291" s="90"/>
      <c r="G291" s="91"/>
      <c r="H291" s="86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9"/>
      <c r="B292" s="89"/>
      <c r="C292" s="89"/>
      <c r="D292" s="90"/>
      <c r="E292" s="90"/>
      <c r="F292" s="90"/>
      <c r="G292" s="91"/>
      <c r="H292" s="86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9"/>
      <c r="B293" s="89"/>
      <c r="C293" s="89"/>
      <c r="D293" s="90"/>
      <c r="E293" s="90"/>
      <c r="F293" s="90"/>
      <c r="G293" s="91"/>
      <c r="H293" s="86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9"/>
      <c r="B294" s="89"/>
      <c r="C294" s="89"/>
      <c r="D294" s="90"/>
      <c r="E294" s="90"/>
      <c r="F294" s="90"/>
      <c r="G294" s="91"/>
      <c r="H294" s="86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9"/>
      <c r="B295" s="89"/>
      <c r="C295" s="89"/>
      <c r="D295" s="90"/>
      <c r="E295" s="90"/>
      <c r="F295" s="90"/>
      <c r="G295" s="91"/>
      <c r="H295" s="86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9"/>
      <c r="B296" s="89"/>
      <c r="C296" s="89"/>
      <c r="D296" s="90"/>
      <c r="E296" s="90"/>
      <c r="F296" s="90"/>
      <c r="G296" s="91"/>
      <c r="H296" s="86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9"/>
      <c r="B297" s="89"/>
      <c r="C297" s="89"/>
      <c r="D297" s="90"/>
      <c r="E297" s="90"/>
      <c r="F297" s="90"/>
      <c r="G297" s="91"/>
      <c r="H297" s="86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9"/>
      <c r="B298" s="89"/>
      <c r="C298" s="89"/>
      <c r="D298" s="90"/>
      <c r="E298" s="90"/>
      <c r="F298" s="90"/>
      <c r="G298" s="91"/>
      <c r="H298" s="86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9"/>
      <c r="B299" s="89"/>
      <c r="C299" s="89"/>
      <c r="D299" s="90"/>
      <c r="E299" s="90"/>
      <c r="F299" s="90"/>
      <c r="G299" s="91"/>
      <c r="H299" s="86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9"/>
      <c r="B300" s="89"/>
      <c r="C300" s="89"/>
      <c r="D300" s="90"/>
      <c r="E300" s="90"/>
      <c r="F300" s="90"/>
      <c r="G300" s="91"/>
      <c r="H300" s="86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9"/>
      <c r="B301" s="89"/>
      <c r="C301" s="89"/>
      <c r="D301" s="90"/>
      <c r="E301" s="90"/>
      <c r="F301" s="90"/>
      <c r="G301" s="91"/>
      <c r="H301" s="86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9"/>
      <c r="B302" s="89"/>
      <c r="C302" s="89"/>
      <c r="D302" s="90"/>
      <c r="E302" s="90"/>
      <c r="F302" s="90"/>
      <c r="G302" s="91"/>
      <c r="H302" s="86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9"/>
      <c r="B303" s="89"/>
      <c r="C303" s="89"/>
      <c r="D303" s="90"/>
      <c r="E303" s="90"/>
      <c r="F303" s="90"/>
      <c r="G303" s="91"/>
      <c r="H303" s="86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9"/>
      <c r="B304" s="89"/>
      <c r="C304" s="89"/>
      <c r="D304" s="90"/>
      <c r="E304" s="90"/>
      <c r="F304" s="90"/>
      <c r="G304" s="91"/>
      <c r="H304" s="86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9"/>
      <c r="B305" s="89"/>
      <c r="C305" s="89"/>
      <c r="D305" s="90"/>
      <c r="E305" s="90"/>
      <c r="F305" s="90"/>
      <c r="G305" s="91"/>
      <c r="H305" s="86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9"/>
      <c r="B306" s="89"/>
      <c r="C306" s="89"/>
      <c r="D306" s="90"/>
      <c r="E306" s="90"/>
      <c r="F306" s="90"/>
      <c r="G306" s="91"/>
      <c r="H306" s="86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9"/>
      <c r="B307" s="89"/>
      <c r="C307" s="89"/>
      <c r="D307" s="90"/>
      <c r="E307" s="90"/>
      <c r="F307" s="90"/>
      <c r="G307" s="91"/>
      <c r="H307" s="86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9"/>
      <c r="B308" s="89"/>
      <c r="C308" s="89"/>
      <c r="D308" s="90"/>
      <c r="E308" s="90"/>
      <c r="F308" s="90"/>
      <c r="G308" s="91"/>
      <c r="H308" s="86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9"/>
      <c r="B309" s="89"/>
      <c r="C309" s="89"/>
      <c r="D309" s="90"/>
      <c r="E309" s="90"/>
      <c r="F309" s="90"/>
      <c r="G309" s="91"/>
      <c r="H309" s="86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9"/>
      <c r="B310" s="89"/>
      <c r="C310" s="89"/>
      <c r="D310" s="90"/>
      <c r="E310" s="90"/>
      <c r="F310" s="90"/>
      <c r="G310" s="91"/>
      <c r="H310" s="86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9"/>
      <c r="B311" s="89"/>
      <c r="C311" s="89"/>
      <c r="D311" s="90"/>
      <c r="E311" s="90"/>
      <c r="F311" s="90"/>
      <c r="G311" s="91"/>
      <c r="H311" s="86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9"/>
      <c r="B312" s="89"/>
      <c r="C312" s="89"/>
      <c r="D312" s="90"/>
      <c r="E312" s="90"/>
      <c r="F312" s="90"/>
      <c r="G312" s="91"/>
      <c r="H312" s="86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9"/>
      <c r="B313" s="89"/>
      <c r="C313" s="89"/>
      <c r="D313" s="90"/>
      <c r="E313" s="90"/>
      <c r="F313" s="90"/>
      <c r="G313" s="91"/>
      <c r="H313" s="86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9"/>
      <c r="B314" s="89"/>
      <c r="C314" s="89"/>
      <c r="D314" s="90"/>
      <c r="E314" s="90"/>
      <c r="F314" s="90"/>
      <c r="G314" s="91"/>
      <c r="H314" s="86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9"/>
      <c r="B315" s="89"/>
      <c r="C315" s="89"/>
      <c r="D315" s="90"/>
      <c r="E315" s="90"/>
      <c r="F315" s="90"/>
      <c r="G315" s="91"/>
      <c r="H315" s="86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9"/>
      <c r="B316" s="89"/>
      <c r="C316" s="89"/>
      <c r="D316" s="90"/>
      <c r="E316" s="90"/>
      <c r="F316" s="90"/>
      <c r="G316" s="91"/>
      <c r="H316" s="86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9"/>
      <c r="B317" s="89"/>
      <c r="C317" s="89"/>
      <c r="D317" s="90"/>
      <c r="E317" s="90"/>
      <c r="F317" s="90"/>
      <c r="G317" s="91"/>
      <c r="H317" s="86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9"/>
      <c r="B318" s="89"/>
      <c r="C318" s="89"/>
      <c r="D318" s="90"/>
      <c r="E318" s="90"/>
      <c r="F318" s="90"/>
      <c r="G318" s="91"/>
      <c r="H318" s="86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9"/>
      <c r="B319" s="89"/>
      <c r="C319" s="89"/>
      <c r="D319" s="90"/>
      <c r="E319" s="90"/>
      <c r="F319" s="90"/>
      <c r="G319" s="91"/>
      <c r="H319" s="86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9"/>
      <c r="B320" s="89"/>
      <c r="C320" s="89"/>
      <c r="D320" s="90"/>
      <c r="E320" s="90"/>
      <c r="F320" s="90"/>
      <c r="G320" s="91"/>
      <c r="H320" s="86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9"/>
      <c r="B321" s="89"/>
      <c r="C321" s="89"/>
      <c r="D321" s="90"/>
      <c r="E321" s="90"/>
      <c r="F321" s="90"/>
      <c r="G321" s="91"/>
      <c r="H321" s="86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9"/>
      <c r="B322" s="89"/>
      <c r="C322" s="89"/>
      <c r="D322" s="90"/>
      <c r="E322" s="90"/>
      <c r="F322" s="90"/>
      <c r="G322" s="91"/>
      <c r="H322" s="86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9"/>
      <c r="B323" s="89"/>
      <c r="C323" s="89"/>
      <c r="D323" s="90"/>
      <c r="E323" s="90"/>
      <c r="F323" s="90"/>
      <c r="G323" s="91"/>
      <c r="H323" s="86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9"/>
      <c r="B324" s="89"/>
      <c r="C324" s="89"/>
      <c r="D324" s="90"/>
      <c r="E324" s="90"/>
      <c r="F324" s="90"/>
      <c r="G324" s="91"/>
      <c r="H324" s="86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9"/>
      <c r="B325" s="89"/>
      <c r="C325" s="89"/>
      <c r="D325" s="90"/>
      <c r="E325" s="90"/>
      <c r="F325" s="90"/>
      <c r="G325" s="91"/>
      <c r="H325" s="86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9"/>
      <c r="B326" s="89"/>
      <c r="C326" s="89"/>
      <c r="D326" s="90"/>
      <c r="E326" s="90"/>
      <c r="F326" s="90"/>
      <c r="G326" s="91"/>
      <c r="H326" s="86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9"/>
      <c r="B327" s="89"/>
      <c r="C327" s="89"/>
      <c r="D327" s="90"/>
      <c r="E327" s="90"/>
      <c r="F327" s="90"/>
      <c r="G327" s="91"/>
      <c r="H327" s="86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9"/>
      <c r="B328" s="89"/>
      <c r="C328" s="89"/>
      <c r="D328" s="90"/>
      <c r="E328" s="90"/>
      <c r="F328" s="90"/>
      <c r="G328" s="91"/>
      <c r="H328" s="86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9"/>
      <c r="B329" s="89"/>
      <c r="C329" s="89"/>
      <c r="D329" s="90"/>
      <c r="E329" s="90"/>
      <c r="F329" s="90"/>
      <c r="G329" s="91"/>
      <c r="H329" s="86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9"/>
      <c r="B330" s="89"/>
      <c r="C330" s="89"/>
      <c r="D330" s="90"/>
      <c r="E330" s="90"/>
      <c r="F330" s="90"/>
      <c r="G330" s="91"/>
      <c r="H330" s="86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9"/>
      <c r="B331" s="89"/>
      <c r="C331" s="89"/>
      <c r="D331" s="90"/>
      <c r="E331" s="90"/>
      <c r="F331" s="90"/>
      <c r="G331" s="91"/>
      <c r="H331" s="86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9"/>
      <c r="B332" s="89"/>
      <c r="C332" s="89"/>
      <c r="D332" s="90"/>
      <c r="E332" s="90"/>
      <c r="F332" s="90"/>
      <c r="G332" s="91"/>
      <c r="H332" s="86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9"/>
      <c r="B333" s="89"/>
      <c r="C333" s="89"/>
      <c r="D333" s="90"/>
      <c r="E333" s="90"/>
      <c r="F333" s="90"/>
      <c r="G333" s="91"/>
      <c r="H333" s="86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9"/>
      <c r="B334" s="89"/>
      <c r="C334" s="89"/>
      <c r="D334" s="90"/>
      <c r="E334" s="90"/>
      <c r="F334" s="90"/>
      <c r="G334" s="91"/>
      <c r="H334" s="86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9"/>
      <c r="B335" s="89"/>
      <c r="C335" s="89"/>
      <c r="D335" s="90"/>
      <c r="E335" s="90"/>
      <c r="F335" s="90"/>
      <c r="G335" s="91"/>
      <c r="H335" s="86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9"/>
      <c r="B336" s="89"/>
      <c r="C336" s="89"/>
      <c r="D336" s="90"/>
      <c r="E336" s="90"/>
      <c r="F336" s="90"/>
      <c r="G336" s="91"/>
      <c r="H336" s="86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9"/>
      <c r="B337" s="89"/>
      <c r="C337" s="89"/>
      <c r="D337" s="90"/>
      <c r="E337" s="90"/>
      <c r="F337" s="90"/>
      <c r="G337" s="91"/>
      <c r="H337" s="86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9"/>
      <c r="B338" s="89"/>
      <c r="C338" s="89"/>
      <c r="D338" s="90"/>
      <c r="E338" s="90"/>
      <c r="F338" s="90"/>
      <c r="G338" s="91"/>
      <c r="H338" s="86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9"/>
      <c r="B339" s="89"/>
      <c r="C339" s="89"/>
      <c r="D339" s="90"/>
      <c r="E339" s="90"/>
      <c r="F339" s="90"/>
      <c r="G339" s="91"/>
      <c r="H339" s="86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9"/>
      <c r="B340" s="89"/>
      <c r="C340" s="89"/>
      <c r="D340" s="90"/>
      <c r="E340" s="90"/>
      <c r="F340" s="90"/>
      <c r="G340" s="91"/>
      <c r="H340" s="86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9"/>
      <c r="B341" s="89"/>
      <c r="C341" s="89"/>
      <c r="D341" s="90"/>
      <c r="E341" s="90"/>
      <c r="F341" s="90"/>
      <c r="G341" s="91"/>
      <c r="H341" s="86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9"/>
      <c r="B342" s="89"/>
      <c r="C342" s="89"/>
      <c r="D342" s="90"/>
      <c r="E342" s="90"/>
      <c r="F342" s="90"/>
      <c r="G342" s="91"/>
      <c r="H342" s="86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9"/>
      <c r="B343" s="89"/>
      <c r="C343" s="89"/>
      <c r="D343" s="90"/>
      <c r="E343" s="90"/>
      <c r="F343" s="90"/>
      <c r="G343" s="91"/>
      <c r="H343" s="86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9"/>
      <c r="B344" s="89"/>
      <c r="C344" s="89"/>
      <c r="D344" s="90"/>
      <c r="E344" s="90"/>
      <c r="F344" s="90"/>
      <c r="G344" s="91"/>
      <c r="H344" s="86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9"/>
      <c r="B345" s="89"/>
      <c r="C345" s="89"/>
      <c r="D345" s="90"/>
      <c r="E345" s="90"/>
      <c r="F345" s="90"/>
      <c r="G345" s="91"/>
      <c r="H345" s="86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9"/>
      <c r="B346" s="89"/>
      <c r="C346" s="89"/>
      <c r="D346" s="90"/>
      <c r="E346" s="90"/>
      <c r="F346" s="90"/>
      <c r="G346" s="91"/>
      <c r="H346" s="86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9"/>
      <c r="B347" s="89"/>
      <c r="C347" s="89"/>
      <c r="D347" s="90"/>
      <c r="E347" s="90"/>
      <c r="F347" s="90"/>
      <c r="G347" s="91"/>
      <c r="H347" s="86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9"/>
      <c r="B348" s="89"/>
      <c r="C348" s="89"/>
      <c r="D348" s="90"/>
      <c r="E348" s="90"/>
      <c r="F348" s="90"/>
      <c r="G348" s="91"/>
      <c r="H348" s="86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9"/>
      <c r="B349" s="89"/>
      <c r="C349" s="89"/>
      <c r="D349" s="90"/>
      <c r="E349" s="90"/>
      <c r="F349" s="90"/>
      <c r="G349" s="91"/>
      <c r="H349" s="86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9"/>
      <c r="B350" s="89"/>
      <c r="C350" s="89"/>
      <c r="D350" s="90"/>
      <c r="E350" s="90"/>
      <c r="F350" s="90"/>
      <c r="G350" s="91"/>
      <c r="H350" s="86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9"/>
      <c r="B351" s="89"/>
      <c r="C351" s="89"/>
      <c r="D351" s="90"/>
      <c r="E351" s="90"/>
      <c r="F351" s="90"/>
      <c r="G351" s="91"/>
      <c r="H351" s="86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9"/>
      <c r="B352" s="89"/>
      <c r="C352" s="89"/>
      <c r="D352" s="90"/>
      <c r="E352" s="90"/>
      <c r="F352" s="90"/>
      <c r="G352" s="91"/>
      <c r="H352" s="86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9"/>
      <c r="B353" s="89"/>
      <c r="C353" s="89"/>
      <c r="D353" s="90"/>
      <c r="E353" s="90"/>
      <c r="F353" s="90"/>
      <c r="G353" s="91"/>
      <c r="H353" s="86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9"/>
      <c r="B354" s="89"/>
      <c r="C354" s="89"/>
      <c r="D354" s="90"/>
      <c r="E354" s="90"/>
      <c r="F354" s="90"/>
      <c r="G354" s="91"/>
      <c r="H354" s="86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9"/>
      <c r="B355" s="89"/>
      <c r="C355" s="89"/>
      <c r="D355" s="90"/>
      <c r="E355" s="90"/>
      <c r="F355" s="90"/>
      <c r="G355" s="91"/>
      <c r="H355" s="86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9"/>
      <c r="B356" s="89"/>
      <c r="C356" s="89"/>
      <c r="D356" s="90"/>
      <c r="E356" s="90"/>
      <c r="F356" s="90"/>
      <c r="G356" s="91"/>
      <c r="H356" s="86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9"/>
      <c r="B357" s="89"/>
      <c r="C357" s="89"/>
      <c r="D357" s="90"/>
      <c r="E357" s="90"/>
      <c r="F357" s="90"/>
      <c r="G357" s="91"/>
      <c r="H357" s="86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9"/>
      <c r="B358" s="89"/>
      <c r="C358" s="89"/>
      <c r="D358" s="90"/>
      <c r="E358" s="90"/>
      <c r="F358" s="90"/>
      <c r="G358" s="91"/>
      <c r="H358" s="86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9"/>
      <c r="B359" s="89"/>
      <c r="C359" s="89"/>
      <c r="D359" s="90"/>
      <c r="E359" s="90"/>
      <c r="F359" s="90"/>
      <c r="G359" s="91"/>
      <c r="H359" s="86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9"/>
      <c r="B360" s="89"/>
      <c r="C360" s="89"/>
      <c r="D360" s="90"/>
      <c r="E360" s="90"/>
      <c r="F360" s="90"/>
      <c r="G360" s="91"/>
      <c r="H360" s="86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9"/>
      <c r="B361" s="89"/>
      <c r="C361" s="89"/>
      <c r="D361" s="90"/>
      <c r="E361" s="90"/>
      <c r="F361" s="90"/>
      <c r="G361" s="91"/>
      <c r="H361" s="86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9"/>
      <c r="B362" s="89"/>
      <c r="C362" s="89"/>
      <c r="D362" s="90"/>
      <c r="E362" s="90"/>
      <c r="F362" s="90"/>
      <c r="G362" s="91"/>
      <c r="H362" s="86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9"/>
      <c r="B363" s="89"/>
      <c r="C363" s="89"/>
      <c r="D363" s="90"/>
      <c r="E363" s="90"/>
      <c r="F363" s="90"/>
      <c r="G363" s="91"/>
      <c r="H363" s="86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9"/>
      <c r="B364" s="89"/>
      <c r="C364" s="89"/>
      <c r="D364" s="90"/>
      <c r="E364" s="90"/>
      <c r="F364" s="90"/>
      <c r="G364" s="91"/>
      <c r="H364" s="86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9"/>
      <c r="B365" s="89"/>
      <c r="C365" s="89"/>
      <c r="D365" s="90"/>
      <c r="E365" s="90"/>
      <c r="F365" s="90"/>
      <c r="G365" s="91"/>
      <c r="H365" s="86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9"/>
      <c r="B366" s="89"/>
      <c r="C366" s="89"/>
      <c r="D366" s="90"/>
      <c r="E366" s="90"/>
      <c r="F366" s="90"/>
      <c r="G366" s="91"/>
      <c r="H366" s="86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9"/>
      <c r="B367" s="89"/>
      <c r="C367" s="89"/>
      <c r="D367" s="90"/>
      <c r="E367" s="90"/>
      <c r="F367" s="90"/>
      <c r="G367" s="91"/>
      <c r="H367" s="86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9"/>
      <c r="B368" s="89"/>
      <c r="C368" s="89"/>
      <c r="D368" s="90"/>
      <c r="E368" s="90"/>
      <c r="F368" s="90"/>
      <c r="G368" s="91"/>
      <c r="H368" s="86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9"/>
      <c r="B369" s="89"/>
      <c r="C369" s="89"/>
      <c r="D369" s="90"/>
      <c r="E369" s="90"/>
      <c r="F369" s="90"/>
      <c r="G369" s="91"/>
      <c r="H369" s="86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9"/>
      <c r="B370" s="89"/>
      <c r="C370" s="89"/>
      <c r="D370" s="90"/>
      <c r="E370" s="90"/>
      <c r="F370" s="90"/>
      <c r="G370" s="91"/>
      <c r="H370" s="86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9"/>
      <c r="B371" s="89"/>
      <c r="C371" s="89"/>
      <c r="D371" s="90"/>
      <c r="E371" s="90"/>
      <c r="F371" s="90"/>
      <c r="G371" s="91"/>
      <c r="H371" s="86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9"/>
      <c r="B372" s="89"/>
      <c r="C372" s="89"/>
      <c r="D372" s="90"/>
      <c r="E372" s="90"/>
      <c r="F372" s="90"/>
      <c r="G372" s="91"/>
      <c r="H372" s="86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9"/>
      <c r="B373" s="89"/>
      <c r="C373" s="89"/>
      <c r="D373" s="90"/>
      <c r="E373" s="90"/>
      <c r="F373" s="90"/>
      <c r="G373" s="91"/>
      <c r="H373" s="86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9"/>
      <c r="B374" s="89"/>
      <c r="C374" s="89"/>
      <c r="D374" s="90"/>
      <c r="E374" s="90"/>
      <c r="F374" s="90"/>
      <c r="G374" s="91"/>
      <c r="H374" s="86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9"/>
      <c r="B375" s="89"/>
      <c r="C375" s="89"/>
      <c r="D375" s="90"/>
      <c r="E375" s="90"/>
      <c r="F375" s="90"/>
      <c r="G375" s="91"/>
      <c r="H375" s="86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9"/>
      <c r="B376" s="89"/>
      <c r="C376" s="89"/>
      <c r="D376" s="90"/>
      <c r="E376" s="90"/>
      <c r="F376" s="90"/>
      <c r="G376" s="91"/>
      <c r="H376" s="86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9"/>
      <c r="B377" s="89"/>
      <c r="C377" s="89"/>
      <c r="D377" s="90"/>
      <c r="E377" s="90"/>
      <c r="F377" s="90"/>
      <c r="G377" s="91"/>
      <c r="H377" s="86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9"/>
      <c r="B378" s="89"/>
      <c r="C378" s="89"/>
      <c r="D378" s="90"/>
      <c r="E378" s="90"/>
      <c r="F378" s="90"/>
      <c r="G378" s="91"/>
      <c r="H378" s="86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9"/>
      <c r="B379" s="89"/>
      <c r="C379" s="89"/>
      <c r="D379" s="90"/>
      <c r="E379" s="90"/>
      <c r="F379" s="90"/>
      <c r="G379" s="91"/>
      <c r="H379" s="86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9"/>
      <c r="B380" s="89"/>
      <c r="C380" s="89"/>
      <c r="D380" s="90"/>
      <c r="E380" s="90"/>
      <c r="F380" s="90"/>
      <c r="G380" s="91"/>
      <c r="H380" s="86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9"/>
      <c r="B381" s="89"/>
      <c r="C381" s="89"/>
      <c r="D381" s="90"/>
      <c r="E381" s="90"/>
      <c r="F381" s="90"/>
      <c r="G381" s="91"/>
      <c r="H381" s="86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9"/>
      <c r="B382" s="89"/>
      <c r="C382" s="89"/>
      <c r="D382" s="90"/>
      <c r="E382" s="90"/>
      <c r="F382" s="90"/>
      <c r="G382" s="91"/>
      <c r="H382" s="86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9"/>
      <c r="B383" s="89"/>
      <c r="C383" s="89"/>
      <c r="D383" s="90"/>
      <c r="E383" s="90"/>
      <c r="F383" s="90"/>
      <c r="G383" s="91"/>
      <c r="H383" s="86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9"/>
      <c r="B384" s="89"/>
      <c r="C384" s="89"/>
      <c r="D384" s="90"/>
      <c r="E384" s="90"/>
      <c r="F384" s="90"/>
      <c r="G384" s="91"/>
      <c r="H384" s="86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9"/>
      <c r="B385" s="89"/>
      <c r="C385" s="89"/>
      <c r="D385" s="90"/>
      <c r="E385" s="90"/>
      <c r="F385" s="90"/>
      <c r="G385" s="91"/>
      <c r="H385" s="86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9"/>
      <c r="B386" s="89"/>
      <c r="C386" s="89"/>
      <c r="D386" s="90"/>
      <c r="E386" s="90"/>
      <c r="F386" s="90"/>
      <c r="G386" s="91"/>
      <c r="H386" s="86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9"/>
      <c r="B387" s="89"/>
      <c r="C387" s="89"/>
      <c r="D387" s="90"/>
      <c r="E387" s="90"/>
      <c r="F387" s="90"/>
      <c r="G387" s="91"/>
      <c r="H387" s="86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9"/>
      <c r="B388" s="89"/>
      <c r="C388" s="89"/>
      <c r="D388" s="90"/>
      <c r="E388" s="90"/>
      <c r="F388" s="90"/>
      <c r="G388" s="91"/>
      <c r="H388" s="86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9"/>
      <c r="B389" s="89"/>
      <c r="C389" s="89"/>
      <c r="D389" s="90"/>
      <c r="E389" s="90"/>
      <c r="F389" s="90"/>
      <c r="G389" s="91"/>
      <c r="H389" s="86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9"/>
      <c r="B390" s="89"/>
      <c r="C390" s="89"/>
      <c r="D390" s="90"/>
      <c r="E390" s="90"/>
      <c r="F390" s="90"/>
      <c r="G390" s="91"/>
      <c r="H390" s="86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9"/>
      <c r="B391" s="89"/>
      <c r="C391" s="89"/>
      <c r="D391" s="90"/>
      <c r="E391" s="90"/>
      <c r="F391" s="90"/>
      <c r="G391" s="91"/>
      <c r="H391" s="86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9"/>
      <c r="B392" s="89"/>
      <c r="C392" s="89"/>
      <c r="D392" s="90"/>
      <c r="E392" s="90"/>
      <c r="F392" s="90"/>
      <c r="G392" s="91"/>
      <c r="H392" s="86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9"/>
      <c r="B393" s="89"/>
      <c r="C393" s="89"/>
      <c r="D393" s="90"/>
      <c r="E393" s="90"/>
      <c r="F393" s="90"/>
      <c r="G393" s="91"/>
      <c r="H393" s="86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9"/>
      <c r="B394" s="89"/>
      <c r="C394" s="89"/>
      <c r="D394" s="90"/>
      <c r="E394" s="90"/>
      <c r="F394" s="90"/>
      <c r="G394" s="91"/>
      <c r="H394" s="86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9"/>
      <c r="B395" s="89"/>
      <c r="C395" s="89"/>
      <c r="D395" s="90"/>
      <c r="E395" s="90"/>
      <c r="F395" s="90"/>
      <c r="G395" s="91"/>
      <c r="H395" s="86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9"/>
      <c r="B396" s="89"/>
      <c r="C396" s="89"/>
      <c r="D396" s="90"/>
      <c r="E396" s="90"/>
      <c r="F396" s="90"/>
      <c r="G396" s="91"/>
      <c r="H396" s="86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9"/>
      <c r="B397" s="89"/>
      <c r="C397" s="89"/>
      <c r="D397" s="90"/>
      <c r="E397" s="90"/>
      <c r="F397" s="90"/>
      <c r="G397" s="91"/>
      <c r="H397" s="86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9"/>
      <c r="B398" s="89"/>
      <c r="C398" s="89"/>
      <c r="D398" s="90"/>
      <c r="E398" s="90"/>
      <c r="F398" s="90"/>
      <c r="G398" s="91"/>
      <c r="H398" s="86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9"/>
      <c r="B399" s="89"/>
      <c r="C399" s="89"/>
      <c r="D399" s="90"/>
      <c r="E399" s="90"/>
      <c r="F399" s="90"/>
      <c r="G399" s="91"/>
      <c r="H399" s="86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9"/>
      <c r="B400" s="89"/>
      <c r="C400" s="89"/>
      <c r="D400" s="90"/>
      <c r="E400" s="90"/>
      <c r="F400" s="90"/>
      <c r="G400" s="91"/>
      <c r="H400" s="86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9"/>
      <c r="B401" s="89"/>
      <c r="C401" s="89"/>
      <c r="D401" s="90"/>
      <c r="E401" s="90"/>
      <c r="F401" s="90"/>
      <c r="G401" s="91"/>
      <c r="H401" s="86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9"/>
      <c r="B402" s="89"/>
      <c r="C402" s="89"/>
      <c r="D402" s="90"/>
      <c r="E402" s="90"/>
      <c r="F402" s="90"/>
      <c r="G402" s="91"/>
      <c r="H402" s="86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9"/>
      <c r="B403" s="89"/>
      <c r="C403" s="89"/>
      <c r="D403" s="90"/>
      <c r="E403" s="90"/>
      <c r="F403" s="90"/>
      <c r="G403" s="91"/>
      <c r="H403" s="86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9"/>
      <c r="B404" s="89"/>
      <c r="C404" s="89"/>
      <c r="D404" s="90"/>
      <c r="E404" s="90"/>
      <c r="F404" s="90"/>
      <c r="G404" s="91"/>
      <c r="H404" s="86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9"/>
      <c r="B405" s="89"/>
      <c r="C405" s="89"/>
      <c r="D405" s="90"/>
      <c r="E405" s="90"/>
      <c r="F405" s="90"/>
      <c r="G405" s="91"/>
      <c r="H405" s="86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9"/>
      <c r="B406" s="89"/>
      <c r="C406" s="89"/>
      <c r="D406" s="90"/>
      <c r="E406" s="90"/>
      <c r="F406" s="90"/>
      <c r="G406" s="91"/>
      <c r="H406" s="86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9"/>
      <c r="B407" s="89"/>
      <c r="C407" s="89"/>
      <c r="D407" s="90"/>
      <c r="E407" s="90"/>
      <c r="F407" s="90"/>
      <c r="G407" s="91"/>
      <c r="H407" s="86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9"/>
      <c r="B408" s="89"/>
      <c r="C408" s="89"/>
      <c r="D408" s="90"/>
      <c r="E408" s="90"/>
      <c r="F408" s="90"/>
      <c r="G408" s="91"/>
      <c r="H408" s="86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9"/>
      <c r="B409" s="89"/>
      <c r="C409" s="89"/>
      <c r="D409" s="90"/>
      <c r="E409" s="90"/>
      <c r="F409" s="90"/>
      <c r="G409" s="91"/>
      <c r="H409" s="86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9"/>
      <c r="B410" s="89"/>
      <c r="C410" s="89"/>
      <c r="D410" s="90"/>
      <c r="E410" s="90"/>
      <c r="F410" s="90"/>
      <c r="G410" s="91"/>
      <c r="H410" s="86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9"/>
      <c r="B411" s="89"/>
      <c r="C411" s="89"/>
      <c r="D411" s="90"/>
      <c r="E411" s="90"/>
      <c r="F411" s="90"/>
      <c r="G411" s="91"/>
      <c r="H411" s="86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9"/>
      <c r="B412" s="89"/>
      <c r="C412" s="89"/>
      <c r="D412" s="90"/>
      <c r="E412" s="90"/>
      <c r="F412" s="90"/>
      <c r="G412" s="91"/>
      <c r="H412" s="86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9"/>
      <c r="B413" s="89"/>
      <c r="C413" s="89"/>
      <c r="D413" s="90"/>
      <c r="E413" s="90"/>
      <c r="F413" s="90"/>
      <c r="G413" s="91"/>
      <c r="H413" s="86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9"/>
      <c r="B414" s="89"/>
      <c r="C414" s="89"/>
      <c r="D414" s="90"/>
      <c r="E414" s="90"/>
      <c r="F414" s="90"/>
      <c r="G414" s="91"/>
      <c r="H414" s="86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9"/>
      <c r="B415" s="89"/>
      <c r="C415" s="89"/>
      <c r="D415" s="90"/>
      <c r="E415" s="90"/>
      <c r="F415" s="90"/>
      <c r="G415" s="91"/>
      <c r="H415" s="86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9"/>
      <c r="B416" s="89"/>
      <c r="C416" s="89"/>
      <c r="D416" s="90"/>
      <c r="E416" s="90"/>
      <c r="F416" s="90"/>
      <c r="G416" s="91"/>
      <c r="H416" s="86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9"/>
      <c r="B417" s="89"/>
      <c r="C417" s="89"/>
      <c r="D417" s="90"/>
      <c r="E417" s="90"/>
      <c r="F417" s="90"/>
      <c r="G417" s="91"/>
      <c r="H417" s="86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9"/>
      <c r="B418" s="89"/>
      <c r="C418" s="89"/>
      <c r="D418" s="90"/>
      <c r="E418" s="90"/>
      <c r="F418" s="90"/>
      <c r="G418" s="91"/>
      <c r="H418" s="86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9"/>
      <c r="B419" s="89"/>
      <c r="C419" s="89"/>
      <c r="D419" s="90"/>
      <c r="E419" s="90"/>
      <c r="F419" s="90"/>
      <c r="G419" s="91"/>
      <c r="H419" s="86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9"/>
      <c r="B420" s="89"/>
      <c r="C420" s="89"/>
      <c r="D420" s="90"/>
      <c r="E420" s="90"/>
      <c r="F420" s="90"/>
      <c r="G420" s="91"/>
      <c r="H420" s="86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9"/>
      <c r="B421" s="89"/>
      <c r="C421" s="89"/>
      <c r="D421" s="90"/>
      <c r="E421" s="90"/>
      <c r="F421" s="90"/>
      <c r="G421" s="91"/>
      <c r="H421" s="86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9"/>
      <c r="B422" s="89"/>
      <c r="C422" s="89"/>
      <c r="D422" s="90"/>
      <c r="E422" s="90"/>
      <c r="F422" s="90"/>
      <c r="G422" s="91"/>
      <c r="H422" s="86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9"/>
      <c r="B423" s="89"/>
      <c r="C423" s="89"/>
      <c r="D423" s="90"/>
      <c r="E423" s="90"/>
      <c r="F423" s="90"/>
      <c r="G423" s="91"/>
      <c r="H423" s="86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9"/>
      <c r="B424" s="89"/>
      <c r="C424" s="89"/>
      <c r="D424" s="90"/>
      <c r="E424" s="90"/>
      <c r="F424" s="90"/>
      <c r="G424" s="91"/>
      <c r="H424" s="86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9"/>
      <c r="B425" s="89"/>
      <c r="C425" s="89"/>
      <c r="D425" s="90"/>
      <c r="E425" s="90"/>
      <c r="F425" s="90"/>
      <c r="G425" s="91"/>
      <c r="H425" s="86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9"/>
      <c r="B426" s="89"/>
      <c r="C426" s="89"/>
      <c r="D426" s="90"/>
      <c r="E426" s="90"/>
      <c r="F426" s="90"/>
      <c r="G426" s="91"/>
      <c r="H426" s="86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9"/>
      <c r="B427" s="89"/>
      <c r="C427" s="89"/>
      <c r="D427" s="90"/>
      <c r="E427" s="90"/>
      <c r="F427" s="90"/>
      <c r="G427" s="91"/>
      <c r="H427" s="86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9"/>
      <c r="B428" s="89"/>
      <c r="C428" s="89"/>
      <c r="D428" s="90"/>
      <c r="E428" s="90"/>
      <c r="F428" s="90"/>
      <c r="G428" s="91"/>
      <c r="H428" s="86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9"/>
      <c r="B429" s="89"/>
      <c r="C429" s="89"/>
      <c r="D429" s="90"/>
      <c r="E429" s="90"/>
      <c r="F429" s="90"/>
      <c r="G429" s="91"/>
      <c r="H429" s="86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9"/>
      <c r="B430" s="89"/>
      <c r="C430" s="89"/>
      <c r="D430" s="90"/>
      <c r="E430" s="90"/>
      <c r="F430" s="90"/>
      <c r="G430" s="91"/>
      <c r="H430" s="86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9"/>
      <c r="B431" s="89"/>
      <c r="C431" s="89"/>
      <c r="D431" s="90"/>
      <c r="E431" s="90"/>
      <c r="F431" s="90"/>
      <c r="G431" s="91"/>
      <c r="H431" s="86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9"/>
      <c r="B432" s="89"/>
      <c r="C432" s="89"/>
      <c r="D432" s="90"/>
      <c r="E432" s="90"/>
      <c r="F432" s="90"/>
      <c r="G432" s="91"/>
      <c r="H432" s="86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9"/>
      <c r="B433" s="89"/>
      <c r="C433" s="89"/>
      <c r="D433" s="90"/>
      <c r="E433" s="90"/>
      <c r="F433" s="90"/>
      <c r="G433" s="91"/>
      <c r="H433" s="86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9"/>
      <c r="B434" s="89"/>
      <c r="C434" s="89"/>
      <c r="D434" s="90"/>
      <c r="E434" s="90"/>
      <c r="F434" s="90"/>
      <c r="G434" s="91"/>
      <c r="H434" s="86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9"/>
      <c r="B435" s="89"/>
      <c r="C435" s="89"/>
      <c r="D435" s="90"/>
      <c r="E435" s="90"/>
      <c r="F435" s="90"/>
      <c r="G435" s="91"/>
      <c r="H435" s="86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9"/>
      <c r="B436" s="89"/>
      <c r="C436" s="89"/>
      <c r="D436" s="90"/>
      <c r="E436" s="90"/>
      <c r="F436" s="90"/>
      <c r="G436" s="91"/>
      <c r="H436" s="86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9"/>
      <c r="B437" s="89"/>
      <c r="C437" s="89"/>
      <c r="D437" s="90"/>
      <c r="E437" s="90"/>
      <c r="F437" s="90"/>
      <c r="G437" s="91"/>
      <c r="H437" s="86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9"/>
      <c r="B438" s="89"/>
      <c r="C438" s="89"/>
      <c r="D438" s="90"/>
      <c r="E438" s="90"/>
      <c r="F438" s="90"/>
      <c r="G438" s="91"/>
      <c r="H438" s="86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9"/>
      <c r="B439" s="89"/>
      <c r="C439" s="89"/>
      <c r="D439" s="90"/>
      <c r="E439" s="90"/>
      <c r="F439" s="90"/>
      <c r="G439" s="91"/>
      <c r="H439" s="86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9"/>
      <c r="B440" s="89"/>
      <c r="C440" s="89"/>
      <c r="D440" s="90"/>
      <c r="E440" s="90"/>
      <c r="F440" s="90"/>
      <c r="G440" s="91"/>
      <c r="H440" s="86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9"/>
      <c r="B441" s="89"/>
      <c r="C441" s="89"/>
      <c r="D441" s="90"/>
      <c r="E441" s="90"/>
      <c r="F441" s="90"/>
      <c r="G441" s="91"/>
      <c r="H441" s="86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9"/>
      <c r="B442" s="89"/>
      <c r="C442" s="89"/>
      <c r="D442" s="90"/>
      <c r="E442" s="90"/>
      <c r="F442" s="90"/>
      <c r="G442" s="91"/>
      <c r="H442" s="86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9"/>
      <c r="B443" s="89"/>
      <c r="C443" s="89"/>
      <c r="D443" s="90"/>
      <c r="E443" s="90"/>
      <c r="F443" s="90"/>
      <c r="G443" s="91"/>
      <c r="H443" s="86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9"/>
      <c r="B444" s="89"/>
      <c r="C444" s="89"/>
      <c r="D444" s="90"/>
      <c r="E444" s="90"/>
      <c r="F444" s="90"/>
      <c r="G444" s="91"/>
      <c r="H444" s="86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9"/>
      <c r="B445" s="89"/>
      <c r="C445" s="89"/>
      <c r="D445" s="90"/>
      <c r="E445" s="90"/>
      <c r="F445" s="90"/>
      <c r="G445" s="91"/>
      <c r="H445" s="86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9"/>
      <c r="B446" s="89"/>
      <c r="C446" s="89"/>
      <c r="D446" s="90"/>
      <c r="E446" s="90"/>
      <c r="F446" s="90"/>
      <c r="G446" s="91"/>
      <c r="H446" s="86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9"/>
      <c r="B447" s="89"/>
      <c r="C447" s="89"/>
      <c r="D447" s="90"/>
      <c r="E447" s="90"/>
      <c r="F447" s="90"/>
      <c r="G447" s="91"/>
      <c r="H447" s="86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9"/>
      <c r="B448" s="89"/>
      <c r="C448" s="89"/>
      <c r="D448" s="90"/>
      <c r="E448" s="90"/>
      <c r="F448" s="90"/>
      <c r="G448" s="91"/>
      <c r="H448" s="86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9"/>
      <c r="B449" s="89"/>
      <c r="C449" s="89"/>
      <c r="D449" s="90"/>
      <c r="E449" s="90"/>
      <c r="F449" s="90"/>
      <c r="G449" s="91"/>
      <c r="H449" s="86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9"/>
      <c r="B450" s="89"/>
      <c r="C450" s="89"/>
      <c r="D450" s="90"/>
      <c r="E450" s="90"/>
      <c r="F450" s="90"/>
      <c r="G450" s="91"/>
      <c r="H450" s="86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9"/>
      <c r="B451" s="89"/>
      <c r="C451" s="89"/>
      <c r="D451" s="90"/>
      <c r="E451" s="90"/>
      <c r="F451" s="90"/>
      <c r="G451" s="91"/>
      <c r="H451" s="86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9"/>
      <c r="B452" s="89"/>
      <c r="C452" s="89"/>
      <c r="D452" s="90"/>
      <c r="E452" s="90"/>
      <c r="F452" s="90"/>
      <c r="G452" s="91"/>
      <c r="H452" s="86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9"/>
      <c r="B453" s="89"/>
      <c r="C453" s="89"/>
      <c r="D453" s="90"/>
      <c r="E453" s="90"/>
      <c r="F453" s="90"/>
      <c r="G453" s="91"/>
      <c r="H453" s="86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9"/>
      <c r="B454" s="89"/>
      <c r="C454" s="89"/>
      <c r="D454" s="90"/>
      <c r="E454" s="90"/>
      <c r="F454" s="90"/>
      <c r="G454" s="91"/>
      <c r="H454" s="86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9"/>
      <c r="B455" s="89"/>
      <c r="C455" s="89"/>
      <c r="D455" s="90"/>
      <c r="E455" s="90"/>
      <c r="F455" s="90"/>
      <c r="G455" s="91"/>
      <c r="H455" s="86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9"/>
      <c r="B456" s="89"/>
      <c r="C456" s="89"/>
      <c r="D456" s="90"/>
      <c r="E456" s="90"/>
      <c r="F456" s="90"/>
      <c r="G456" s="91"/>
      <c r="H456" s="86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9"/>
      <c r="B457" s="89"/>
      <c r="C457" s="89"/>
      <c r="D457" s="90"/>
      <c r="E457" s="90"/>
      <c r="F457" s="90"/>
      <c r="G457" s="91"/>
      <c r="H457" s="86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9"/>
      <c r="B458" s="89"/>
      <c r="C458" s="89"/>
      <c r="D458" s="90"/>
      <c r="E458" s="90"/>
      <c r="F458" s="90"/>
      <c r="G458" s="91"/>
      <c r="H458" s="86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9"/>
      <c r="B459" s="89"/>
      <c r="C459" s="89"/>
      <c r="D459" s="90"/>
      <c r="E459" s="90"/>
      <c r="F459" s="90"/>
      <c r="G459" s="91"/>
      <c r="H459" s="86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9"/>
      <c r="B460" s="89"/>
      <c r="C460" s="89"/>
      <c r="D460" s="90"/>
      <c r="E460" s="90"/>
      <c r="F460" s="90"/>
      <c r="G460" s="91"/>
      <c r="H460" s="86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9"/>
      <c r="B461" s="89"/>
      <c r="C461" s="89"/>
      <c r="D461" s="90"/>
      <c r="E461" s="90"/>
      <c r="F461" s="90"/>
      <c r="G461" s="91"/>
      <c r="H461" s="86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9"/>
      <c r="B462" s="89"/>
      <c r="C462" s="89"/>
      <c r="D462" s="90"/>
      <c r="E462" s="90"/>
      <c r="F462" s="90"/>
      <c r="G462" s="91"/>
      <c r="H462" s="86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9"/>
      <c r="B463" s="89"/>
      <c r="C463" s="89"/>
      <c r="D463" s="90"/>
      <c r="E463" s="90"/>
      <c r="F463" s="90"/>
      <c r="G463" s="91"/>
      <c r="H463" s="86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9"/>
      <c r="B464" s="89"/>
      <c r="C464" s="89"/>
      <c r="D464" s="90"/>
      <c r="E464" s="90"/>
      <c r="F464" s="90"/>
      <c r="G464" s="91"/>
      <c r="H464" s="86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9"/>
      <c r="B465" s="89"/>
      <c r="C465" s="89"/>
      <c r="D465" s="90"/>
      <c r="E465" s="90"/>
      <c r="F465" s="90"/>
      <c r="G465" s="91"/>
      <c r="H465" s="86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9"/>
      <c r="B466" s="89"/>
      <c r="C466" s="89"/>
      <c r="D466" s="90"/>
      <c r="E466" s="90"/>
      <c r="F466" s="90"/>
      <c r="G466" s="91"/>
      <c r="H466" s="86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9"/>
      <c r="B467" s="89"/>
      <c r="C467" s="89"/>
      <c r="D467" s="90"/>
      <c r="E467" s="90"/>
      <c r="F467" s="90"/>
      <c r="G467" s="91"/>
      <c r="H467" s="86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9"/>
      <c r="B468" s="89"/>
      <c r="C468" s="89"/>
      <c r="D468" s="90"/>
      <c r="E468" s="90"/>
      <c r="F468" s="90"/>
      <c r="G468" s="91"/>
      <c r="H468" s="86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9"/>
      <c r="B469" s="89"/>
      <c r="C469" s="89"/>
      <c r="D469" s="90"/>
      <c r="E469" s="90"/>
      <c r="F469" s="90"/>
      <c r="G469" s="91"/>
      <c r="H469" s="86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9"/>
      <c r="B470" s="89"/>
      <c r="C470" s="89"/>
      <c r="D470" s="90"/>
      <c r="E470" s="90"/>
      <c r="F470" s="90"/>
      <c r="G470" s="91"/>
      <c r="H470" s="86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9"/>
      <c r="B471" s="89"/>
      <c r="C471" s="89"/>
      <c r="D471" s="90"/>
      <c r="E471" s="90"/>
      <c r="F471" s="90"/>
      <c r="G471" s="91"/>
      <c r="H471" s="86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9"/>
      <c r="B472" s="89"/>
      <c r="C472" s="89"/>
      <c r="D472" s="90"/>
      <c r="E472" s="90"/>
      <c r="F472" s="90"/>
      <c r="G472" s="91"/>
      <c r="H472" s="86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9"/>
      <c r="B473" s="89"/>
      <c r="C473" s="89"/>
      <c r="D473" s="90"/>
      <c r="E473" s="90"/>
      <c r="F473" s="90"/>
      <c r="G473" s="91"/>
      <c r="H473" s="86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9"/>
      <c r="B474" s="89"/>
      <c r="C474" s="89"/>
      <c r="D474" s="90"/>
      <c r="E474" s="90"/>
      <c r="F474" s="90"/>
      <c r="G474" s="91"/>
      <c r="H474" s="86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9"/>
      <c r="B475" s="89"/>
      <c r="C475" s="89"/>
      <c r="D475" s="90"/>
      <c r="E475" s="90"/>
      <c r="F475" s="90"/>
      <c r="G475" s="91"/>
      <c r="H475" s="86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9"/>
      <c r="B476" s="89"/>
      <c r="C476" s="89"/>
      <c r="D476" s="90"/>
      <c r="E476" s="90"/>
      <c r="F476" s="90"/>
      <c r="G476" s="91"/>
      <c r="H476" s="86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9"/>
      <c r="B477" s="89"/>
      <c r="C477" s="89"/>
      <c r="D477" s="90"/>
      <c r="E477" s="90"/>
      <c r="F477" s="90"/>
      <c r="G477" s="91"/>
      <c r="H477" s="86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9"/>
      <c r="B478" s="89"/>
      <c r="C478" s="89"/>
      <c r="D478" s="90"/>
      <c r="E478" s="90"/>
      <c r="F478" s="90"/>
      <c r="G478" s="91"/>
      <c r="H478" s="86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9"/>
      <c r="B479" s="89"/>
      <c r="C479" s="89"/>
      <c r="D479" s="90"/>
      <c r="E479" s="90"/>
      <c r="F479" s="90"/>
      <c r="G479" s="91"/>
      <c r="H479" s="86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9"/>
      <c r="B480" s="89"/>
      <c r="C480" s="89"/>
      <c r="D480" s="90"/>
      <c r="E480" s="90"/>
      <c r="F480" s="90"/>
      <c r="G480" s="91"/>
      <c r="H480" s="86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9"/>
      <c r="B481" s="89"/>
      <c r="C481" s="89"/>
      <c r="D481" s="90"/>
      <c r="E481" s="90"/>
      <c r="F481" s="90"/>
      <c r="G481" s="91"/>
      <c r="H481" s="86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9"/>
      <c r="B482" s="89"/>
      <c r="C482" s="89"/>
      <c r="D482" s="90"/>
      <c r="E482" s="90"/>
      <c r="F482" s="90"/>
      <c r="G482" s="91"/>
      <c r="H482" s="86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9"/>
      <c r="B483" s="89"/>
      <c r="C483" s="89"/>
      <c r="D483" s="90"/>
      <c r="E483" s="90"/>
      <c r="F483" s="90"/>
      <c r="G483" s="91"/>
      <c r="H483" s="86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9"/>
      <c r="B484" s="89"/>
      <c r="C484" s="89"/>
      <c r="D484" s="90"/>
      <c r="E484" s="90"/>
      <c r="F484" s="90"/>
      <c r="G484" s="91"/>
      <c r="H484" s="86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9"/>
      <c r="B485" s="89"/>
      <c r="C485" s="89"/>
      <c r="D485" s="90"/>
      <c r="E485" s="90"/>
      <c r="F485" s="90"/>
      <c r="G485" s="91"/>
      <c r="H485" s="86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9"/>
      <c r="B486" s="89"/>
      <c r="C486" s="89"/>
      <c r="D486" s="90"/>
      <c r="E486" s="90"/>
      <c r="F486" s="90"/>
      <c r="G486" s="91"/>
      <c r="H486" s="86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9"/>
      <c r="B487" s="89"/>
      <c r="C487" s="89"/>
      <c r="D487" s="90"/>
      <c r="E487" s="90"/>
      <c r="F487" s="90"/>
      <c r="G487" s="91"/>
      <c r="H487" s="86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9"/>
      <c r="B488" s="89"/>
      <c r="C488" s="89"/>
      <c r="D488" s="90"/>
      <c r="E488" s="90"/>
      <c r="F488" s="90"/>
      <c r="G488" s="91"/>
      <c r="H488" s="86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9"/>
      <c r="B489" s="89"/>
      <c r="C489" s="89"/>
      <c r="D489" s="90"/>
      <c r="E489" s="90"/>
      <c r="F489" s="90"/>
      <c r="G489" s="91"/>
      <c r="H489" s="86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9"/>
      <c r="B490" s="89"/>
      <c r="C490" s="89"/>
      <c r="D490" s="90"/>
      <c r="E490" s="90"/>
      <c r="F490" s="90"/>
      <c r="G490" s="91"/>
      <c r="H490" s="86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9"/>
      <c r="B491" s="89"/>
      <c r="C491" s="89"/>
      <c r="D491" s="90"/>
      <c r="E491" s="90"/>
      <c r="F491" s="90"/>
      <c r="G491" s="91"/>
      <c r="H491" s="86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9"/>
      <c r="B492" s="89"/>
      <c r="C492" s="89"/>
      <c r="D492" s="90"/>
      <c r="E492" s="90"/>
      <c r="F492" s="90"/>
      <c r="G492" s="91"/>
      <c r="H492" s="86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9"/>
      <c r="B493" s="89"/>
      <c r="C493" s="89"/>
      <c r="D493" s="90"/>
      <c r="E493" s="90"/>
      <c r="F493" s="90"/>
      <c r="G493" s="91"/>
      <c r="H493" s="86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9"/>
      <c r="B494" s="89"/>
      <c r="C494" s="89"/>
      <c r="D494" s="90"/>
      <c r="E494" s="90"/>
      <c r="F494" s="90"/>
      <c r="G494" s="91"/>
      <c r="H494" s="86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9"/>
      <c r="B495" s="89"/>
      <c r="C495" s="89"/>
      <c r="D495" s="90"/>
      <c r="E495" s="90"/>
      <c r="F495" s="90"/>
      <c r="G495" s="91"/>
      <c r="H495" s="86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9"/>
      <c r="B496" s="89"/>
      <c r="C496" s="89"/>
      <c r="D496" s="90"/>
      <c r="E496" s="90"/>
      <c r="F496" s="90"/>
      <c r="G496" s="91"/>
      <c r="H496" s="86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9"/>
      <c r="B497" s="89"/>
      <c r="C497" s="89"/>
      <c r="D497" s="90"/>
      <c r="E497" s="90"/>
      <c r="F497" s="90"/>
      <c r="G497" s="91"/>
      <c r="H497" s="86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9"/>
      <c r="B498" s="89"/>
      <c r="C498" s="89"/>
      <c r="D498" s="90"/>
      <c r="E498" s="90"/>
      <c r="F498" s="90"/>
      <c r="G498" s="91"/>
      <c r="H498" s="86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9"/>
      <c r="B499" s="89"/>
      <c r="C499" s="89"/>
      <c r="D499" s="90"/>
      <c r="E499" s="90"/>
      <c r="F499" s="90"/>
      <c r="G499" s="91"/>
      <c r="H499" s="86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9"/>
      <c r="B500" s="89"/>
      <c r="C500" s="89"/>
      <c r="D500" s="90"/>
      <c r="E500" s="90"/>
      <c r="F500" s="90"/>
      <c r="G500" s="91"/>
      <c r="H500" s="86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9"/>
      <c r="B501" s="89"/>
      <c r="C501" s="89"/>
      <c r="D501" s="90"/>
      <c r="E501" s="90"/>
      <c r="F501" s="90"/>
      <c r="G501" s="91"/>
      <c r="H501" s="86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9"/>
      <c r="B502" s="89"/>
      <c r="C502" s="89"/>
      <c r="D502" s="90"/>
      <c r="E502" s="90"/>
      <c r="F502" s="90"/>
      <c r="G502" s="91"/>
      <c r="H502" s="86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9"/>
      <c r="B503" s="89"/>
      <c r="C503" s="89"/>
      <c r="D503" s="90"/>
      <c r="E503" s="90"/>
      <c r="F503" s="90"/>
      <c r="G503" s="91"/>
      <c r="H503" s="86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9"/>
      <c r="B504" s="89"/>
      <c r="C504" s="89"/>
      <c r="D504" s="90"/>
      <c r="E504" s="90"/>
      <c r="F504" s="90"/>
      <c r="G504" s="91"/>
      <c r="H504" s="86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9"/>
      <c r="B505" s="89"/>
      <c r="C505" s="89"/>
      <c r="D505" s="90"/>
      <c r="E505" s="90"/>
      <c r="F505" s="90"/>
      <c r="G505" s="91"/>
      <c r="H505" s="86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9"/>
      <c r="B506" s="89"/>
      <c r="C506" s="89"/>
      <c r="D506" s="90"/>
      <c r="E506" s="90"/>
      <c r="F506" s="90"/>
      <c r="G506" s="91"/>
      <c r="H506" s="86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9"/>
      <c r="B507" s="89"/>
      <c r="C507" s="89"/>
      <c r="D507" s="90"/>
      <c r="E507" s="90"/>
      <c r="F507" s="90"/>
      <c r="G507" s="91"/>
      <c r="H507" s="86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9"/>
      <c r="B508" s="89"/>
      <c r="C508" s="89"/>
      <c r="D508" s="90"/>
      <c r="E508" s="90"/>
      <c r="F508" s="90"/>
      <c r="G508" s="91"/>
      <c r="H508" s="86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9"/>
      <c r="B509" s="89"/>
      <c r="C509" s="89"/>
      <c r="D509" s="90"/>
      <c r="E509" s="90"/>
      <c r="F509" s="90"/>
      <c r="G509" s="91"/>
      <c r="H509" s="86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9"/>
      <c r="B510" s="89"/>
      <c r="C510" s="89"/>
      <c r="D510" s="90"/>
      <c r="E510" s="90"/>
      <c r="F510" s="90"/>
      <c r="G510" s="91"/>
      <c r="H510" s="86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9"/>
      <c r="B511" s="89"/>
      <c r="C511" s="89"/>
      <c r="D511" s="90"/>
      <c r="E511" s="90"/>
      <c r="F511" s="90"/>
      <c r="G511" s="91"/>
      <c r="H511" s="86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9"/>
      <c r="B512" s="89"/>
      <c r="C512" s="89"/>
      <c r="D512" s="90"/>
      <c r="E512" s="90"/>
      <c r="F512" s="90"/>
      <c r="G512" s="91"/>
      <c r="H512" s="86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9"/>
      <c r="B513" s="89"/>
      <c r="C513" s="89"/>
      <c r="D513" s="90"/>
      <c r="E513" s="90"/>
      <c r="F513" s="90"/>
      <c r="G513" s="91"/>
      <c r="H513" s="86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9"/>
      <c r="B514" s="89"/>
      <c r="C514" s="89"/>
      <c r="D514" s="90"/>
      <c r="E514" s="90"/>
      <c r="F514" s="90"/>
      <c r="G514" s="91"/>
      <c r="H514" s="86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9"/>
      <c r="B515" s="89"/>
      <c r="C515" s="89"/>
      <c r="D515" s="90"/>
      <c r="E515" s="90"/>
      <c r="F515" s="90"/>
      <c r="G515" s="91"/>
      <c r="H515" s="86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9"/>
      <c r="B516" s="89"/>
      <c r="C516" s="89"/>
      <c r="D516" s="90"/>
      <c r="E516" s="90"/>
      <c r="F516" s="90"/>
      <c r="G516" s="91"/>
      <c r="H516" s="86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9"/>
      <c r="B517" s="89"/>
      <c r="C517" s="89"/>
      <c r="D517" s="90"/>
      <c r="E517" s="90"/>
      <c r="F517" s="90"/>
      <c r="G517" s="91"/>
      <c r="H517" s="86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9"/>
      <c r="B518" s="89"/>
      <c r="C518" s="89"/>
      <c r="D518" s="90"/>
      <c r="E518" s="90"/>
      <c r="F518" s="90"/>
      <c r="G518" s="91"/>
      <c r="H518" s="86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9"/>
      <c r="B519" s="89"/>
      <c r="C519" s="89"/>
      <c r="D519" s="90"/>
      <c r="E519" s="90"/>
      <c r="F519" s="90"/>
      <c r="G519" s="91"/>
      <c r="H519" s="86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9"/>
      <c r="B520" s="89"/>
      <c r="C520" s="89"/>
      <c r="D520" s="90"/>
      <c r="E520" s="90"/>
      <c r="F520" s="90"/>
      <c r="G520" s="91"/>
      <c r="H520" s="86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9"/>
      <c r="B521" s="89"/>
      <c r="C521" s="89"/>
      <c r="D521" s="90"/>
      <c r="E521" s="90"/>
      <c r="F521" s="90"/>
      <c r="G521" s="91"/>
      <c r="H521" s="86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9"/>
      <c r="B522" s="89"/>
      <c r="C522" s="89"/>
      <c r="D522" s="90"/>
      <c r="E522" s="90"/>
      <c r="F522" s="90"/>
      <c r="G522" s="91"/>
      <c r="H522" s="86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9"/>
      <c r="B523" s="89"/>
      <c r="C523" s="89"/>
      <c r="D523" s="90"/>
      <c r="E523" s="90"/>
      <c r="F523" s="90"/>
      <c r="G523" s="91"/>
      <c r="H523" s="86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9"/>
      <c r="B524" s="89"/>
      <c r="C524" s="89"/>
      <c r="D524" s="90"/>
      <c r="E524" s="90"/>
      <c r="F524" s="90"/>
      <c r="G524" s="91"/>
      <c r="H524" s="86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9"/>
      <c r="B525" s="89"/>
      <c r="C525" s="89"/>
      <c r="D525" s="90"/>
      <c r="E525" s="90"/>
      <c r="F525" s="90"/>
      <c r="G525" s="91"/>
      <c r="H525" s="86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9"/>
      <c r="B526" s="89"/>
      <c r="C526" s="89"/>
      <c r="D526" s="90"/>
      <c r="E526" s="90"/>
      <c r="F526" s="90"/>
      <c r="G526" s="91"/>
      <c r="H526" s="86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9"/>
      <c r="B527" s="89"/>
      <c r="C527" s="89"/>
      <c r="D527" s="90"/>
      <c r="E527" s="90"/>
      <c r="F527" s="90"/>
      <c r="G527" s="91"/>
      <c r="H527" s="86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9"/>
      <c r="B528" s="89"/>
      <c r="C528" s="89"/>
      <c r="D528" s="90"/>
      <c r="E528" s="90"/>
      <c r="F528" s="90"/>
      <c r="G528" s="91"/>
      <c r="H528" s="86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9"/>
      <c r="B529" s="89"/>
      <c r="C529" s="89"/>
      <c r="D529" s="90"/>
      <c r="E529" s="90"/>
      <c r="F529" s="90"/>
      <c r="G529" s="91"/>
      <c r="H529" s="86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9"/>
      <c r="B530" s="89"/>
      <c r="C530" s="89"/>
      <c r="D530" s="90"/>
      <c r="E530" s="90"/>
      <c r="F530" s="90"/>
      <c r="G530" s="91"/>
      <c r="H530" s="86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9"/>
      <c r="B531" s="89"/>
      <c r="C531" s="89"/>
      <c r="D531" s="90"/>
      <c r="E531" s="90"/>
      <c r="F531" s="90"/>
      <c r="G531" s="91"/>
      <c r="H531" s="86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9"/>
      <c r="B532" s="89"/>
      <c r="C532" s="89"/>
      <c r="D532" s="90"/>
      <c r="E532" s="90"/>
      <c r="F532" s="90"/>
      <c r="G532" s="91"/>
      <c r="H532" s="86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9"/>
      <c r="B533" s="89"/>
      <c r="C533" s="89"/>
      <c r="D533" s="90"/>
      <c r="E533" s="90"/>
      <c r="F533" s="90"/>
      <c r="G533" s="91"/>
      <c r="H533" s="86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9"/>
      <c r="B534" s="89"/>
      <c r="C534" s="89"/>
      <c r="D534" s="90"/>
      <c r="E534" s="90"/>
      <c r="F534" s="90"/>
      <c r="G534" s="91"/>
      <c r="H534" s="86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9"/>
      <c r="B535" s="89"/>
      <c r="C535" s="89"/>
      <c r="D535" s="90"/>
      <c r="E535" s="90"/>
      <c r="F535" s="90"/>
      <c r="G535" s="91"/>
      <c r="H535" s="86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9"/>
      <c r="B536" s="89"/>
      <c r="C536" s="89"/>
      <c r="D536" s="90"/>
      <c r="E536" s="90"/>
      <c r="F536" s="90"/>
      <c r="G536" s="91"/>
      <c r="H536" s="86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9"/>
      <c r="B537" s="89"/>
      <c r="C537" s="89"/>
      <c r="D537" s="90"/>
      <c r="E537" s="90"/>
      <c r="F537" s="90"/>
      <c r="G537" s="91"/>
      <c r="H537" s="86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9"/>
      <c r="B538" s="89"/>
      <c r="C538" s="89"/>
      <c r="D538" s="90"/>
      <c r="E538" s="90"/>
      <c r="F538" s="90"/>
      <c r="G538" s="91"/>
      <c r="H538" s="86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9"/>
      <c r="B539" s="89"/>
      <c r="C539" s="89"/>
      <c r="D539" s="90"/>
      <c r="E539" s="90"/>
      <c r="F539" s="90"/>
      <c r="G539" s="91"/>
      <c r="H539" s="86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9"/>
      <c r="B540" s="89"/>
      <c r="C540" s="89"/>
      <c r="D540" s="90"/>
      <c r="E540" s="90"/>
      <c r="F540" s="90"/>
      <c r="G540" s="91"/>
      <c r="H540" s="86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9"/>
      <c r="B541" s="89"/>
      <c r="C541" s="89"/>
      <c r="D541" s="90"/>
      <c r="E541" s="90"/>
      <c r="F541" s="90"/>
      <c r="G541" s="91"/>
      <c r="H541" s="86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9"/>
      <c r="B542" s="89"/>
      <c r="C542" s="89"/>
      <c r="D542" s="90"/>
      <c r="E542" s="90"/>
      <c r="F542" s="90"/>
      <c r="G542" s="91"/>
      <c r="H542" s="86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9"/>
      <c r="B543" s="89"/>
      <c r="C543" s="89"/>
      <c r="D543" s="90"/>
      <c r="E543" s="90"/>
      <c r="F543" s="90"/>
      <c r="G543" s="91"/>
      <c r="H543" s="86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9"/>
      <c r="B544" s="89"/>
      <c r="C544" s="89"/>
      <c r="D544" s="90"/>
      <c r="E544" s="90"/>
      <c r="F544" s="90"/>
      <c r="G544" s="91"/>
      <c r="H544" s="86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9"/>
      <c r="B545" s="89"/>
      <c r="C545" s="89"/>
      <c r="D545" s="90"/>
      <c r="E545" s="90"/>
      <c r="F545" s="90"/>
      <c r="G545" s="91"/>
      <c r="H545" s="86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9"/>
      <c r="B546" s="89"/>
      <c r="C546" s="89"/>
      <c r="D546" s="90"/>
      <c r="E546" s="90"/>
      <c r="F546" s="90"/>
      <c r="G546" s="91"/>
      <c r="H546" s="86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9"/>
      <c r="B547" s="89"/>
      <c r="C547" s="89"/>
      <c r="D547" s="90"/>
      <c r="E547" s="90"/>
      <c r="F547" s="90"/>
      <c r="G547" s="91"/>
      <c r="H547" s="86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9"/>
      <c r="B548" s="89"/>
      <c r="C548" s="89"/>
      <c r="D548" s="90"/>
      <c r="E548" s="90"/>
      <c r="F548" s="90"/>
      <c r="G548" s="91"/>
      <c r="H548" s="86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9"/>
      <c r="B549" s="89"/>
      <c r="C549" s="89"/>
      <c r="D549" s="90"/>
      <c r="E549" s="90"/>
      <c r="F549" s="90"/>
      <c r="G549" s="91"/>
      <c r="H549" s="86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9"/>
      <c r="B550" s="89"/>
      <c r="C550" s="89"/>
      <c r="D550" s="90"/>
      <c r="E550" s="90"/>
      <c r="F550" s="90"/>
      <c r="G550" s="91"/>
      <c r="H550" s="86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9"/>
      <c r="B551" s="89"/>
      <c r="C551" s="89"/>
      <c r="D551" s="90"/>
      <c r="E551" s="90"/>
      <c r="F551" s="90"/>
      <c r="G551" s="91"/>
      <c r="H551" s="86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9"/>
      <c r="B552" s="89"/>
      <c r="C552" s="89"/>
      <c r="D552" s="90"/>
      <c r="E552" s="90"/>
      <c r="F552" s="90"/>
      <c r="G552" s="91"/>
      <c r="H552" s="86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9"/>
      <c r="B553" s="89"/>
      <c r="C553" s="89"/>
      <c r="D553" s="90"/>
      <c r="E553" s="90"/>
      <c r="F553" s="90"/>
      <c r="G553" s="91"/>
      <c r="H553" s="86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9"/>
      <c r="B554" s="89"/>
      <c r="C554" s="89"/>
      <c r="D554" s="90"/>
      <c r="E554" s="90"/>
      <c r="F554" s="90"/>
      <c r="G554" s="91"/>
      <c r="H554" s="86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9"/>
      <c r="B555" s="89"/>
      <c r="C555" s="89"/>
      <c r="D555" s="90"/>
      <c r="E555" s="90"/>
      <c r="F555" s="90"/>
      <c r="G555" s="91"/>
      <c r="H555" s="86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9"/>
      <c r="B556" s="89"/>
      <c r="C556" s="89"/>
      <c r="D556" s="90"/>
      <c r="E556" s="90"/>
      <c r="F556" s="90"/>
      <c r="G556" s="91"/>
      <c r="H556" s="86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9"/>
      <c r="B557" s="89"/>
      <c r="C557" s="89"/>
      <c r="D557" s="90"/>
      <c r="E557" s="90"/>
      <c r="F557" s="90"/>
      <c r="G557" s="91"/>
      <c r="H557" s="86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9"/>
      <c r="B558" s="89"/>
      <c r="C558" s="89"/>
      <c r="D558" s="90"/>
      <c r="E558" s="90"/>
      <c r="F558" s="90"/>
      <c r="G558" s="91"/>
      <c r="H558" s="86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9"/>
      <c r="B559" s="89"/>
      <c r="C559" s="89"/>
      <c r="D559" s="90"/>
      <c r="E559" s="90"/>
      <c r="F559" s="90"/>
      <c r="G559" s="91"/>
      <c r="H559" s="86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9"/>
      <c r="B560" s="89"/>
      <c r="C560" s="89"/>
      <c r="D560" s="90"/>
      <c r="E560" s="90"/>
      <c r="F560" s="90"/>
      <c r="G560" s="91"/>
      <c r="H560" s="86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9"/>
      <c r="B561" s="89"/>
      <c r="C561" s="89"/>
      <c r="D561" s="90"/>
      <c r="E561" s="90"/>
      <c r="F561" s="90"/>
      <c r="G561" s="91"/>
      <c r="H561" s="86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9"/>
      <c r="B562" s="89"/>
      <c r="C562" s="89"/>
      <c r="D562" s="90"/>
      <c r="E562" s="90"/>
      <c r="F562" s="90"/>
      <c r="G562" s="91"/>
      <c r="H562" s="86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9"/>
      <c r="B563" s="89"/>
      <c r="C563" s="89"/>
      <c r="D563" s="90"/>
      <c r="E563" s="90"/>
      <c r="F563" s="90"/>
      <c r="G563" s="91"/>
      <c r="H563" s="86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9"/>
      <c r="B564" s="89"/>
      <c r="C564" s="89"/>
      <c r="D564" s="90"/>
      <c r="E564" s="90"/>
      <c r="F564" s="90"/>
      <c r="G564" s="91"/>
      <c r="H564" s="86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9"/>
      <c r="B565" s="89"/>
      <c r="C565" s="89"/>
      <c r="D565" s="90"/>
      <c r="E565" s="90"/>
      <c r="F565" s="90"/>
      <c r="G565" s="91"/>
      <c r="H565" s="86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9"/>
      <c r="B566" s="89"/>
      <c r="C566" s="89"/>
      <c r="D566" s="90"/>
      <c r="E566" s="90"/>
      <c r="F566" s="90"/>
      <c r="G566" s="91"/>
      <c r="H566" s="86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9"/>
      <c r="B567" s="89"/>
      <c r="C567" s="89"/>
      <c r="D567" s="90"/>
      <c r="E567" s="90"/>
      <c r="F567" s="90"/>
      <c r="G567" s="91"/>
      <c r="H567" s="86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9"/>
      <c r="B568" s="89"/>
      <c r="C568" s="89"/>
      <c r="D568" s="90"/>
      <c r="E568" s="90"/>
      <c r="F568" s="90"/>
      <c r="G568" s="91"/>
      <c r="H568" s="86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9"/>
      <c r="B569" s="89"/>
      <c r="C569" s="89"/>
      <c r="D569" s="90"/>
      <c r="E569" s="90"/>
      <c r="F569" s="90"/>
      <c r="G569" s="91"/>
      <c r="H569" s="86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9"/>
      <c r="B570" s="89"/>
      <c r="C570" s="89"/>
      <c r="D570" s="90"/>
      <c r="E570" s="90"/>
      <c r="F570" s="90"/>
      <c r="G570" s="91"/>
      <c r="H570" s="86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9"/>
      <c r="B571" s="89"/>
      <c r="C571" s="89"/>
      <c r="D571" s="90"/>
      <c r="E571" s="90"/>
      <c r="F571" s="90"/>
      <c r="G571" s="91"/>
      <c r="H571" s="86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9"/>
      <c r="B572" s="89"/>
      <c r="C572" s="89"/>
      <c r="D572" s="90"/>
      <c r="E572" s="90"/>
      <c r="F572" s="90"/>
      <c r="G572" s="91"/>
      <c r="H572" s="86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9"/>
      <c r="B573" s="89"/>
      <c r="C573" s="89"/>
      <c r="D573" s="90"/>
      <c r="E573" s="90"/>
      <c r="F573" s="90"/>
      <c r="G573" s="91"/>
      <c r="H573" s="86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9"/>
      <c r="B574" s="89"/>
      <c r="C574" s="89"/>
      <c r="D574" s="90"/>
      <c r="E574" s="90"/>
      <c r="F574" s="90"/>
      <c r="G574" s="91"/>
      <c r="H574" s="86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9"/>
      <c r="B575" s="89"/>
      <c r="C575" s="89"/>
      <c r="D575" s="90"/>
      <c r="E575" s="90"/>
      <c r="F575" s="90"/>
      <c r="G575" s="91"/>
      <c r="H575" s="86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9"/>
      <c r="B576" s="89"/>
      <c r="C576" s="89"/>
      <c r="D576" s="90"/>
      <c r="E576" s="90"/>
      <c r="F576" s="90"/>
      <c r="G576" s="91"/>
      <c r="H576" s="86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9"/>
      <c r="B577" s="89"/>
      <c r="C577" s="89"/>
      <c r="D577" s="90"/>
      <c r="E577" s="90"/>
      <c r="F577" s="90"/>
      <c r="G577" s="91"/>
      <c r="H577" s="86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9"/>
      <c r="B578" s="89"/>
      <c r="C578" s="89"/>
      <c r="D578" s="90"/>
      <c r="E578" s="90"/>
      <c r="F578" s="90"/>
      <c r="G578" s="91"/>
      <c r="H578" s="86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9"/>
      <c r="B579" s="89"/>
      <c r="C579" s="89"/>
      <c r="D579" s="90"/>
      <c r="E579" s="90"/>
      <c r="F579" s="90"/>
      <c r="G579" s="91"/>
      <c r="H579" s="86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9"/>
      <c r="B580" s="89"/>
      <c r="C580" s="89"/>
      <c r="D580" s="90"/>
      <c r="E580" s="90"/>
      <c r="F580" s="90"/>
      <c r="G580" s="91"/>
      <c r="H580" s="86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9"/>
      <c r="B581" s="89"/>
      <c r="C581" s="89"/>
      <c r="D581" s="90"/>
      <c r="E581" s="90"/>
      <c r="F581" s="90"/>
      <c r="G581" s="91"/>
      <c r="H581" s="86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9"/>
      <c r="B582" s="89"/>
      <c r="C582" s="89"/>
      <c r="D582" s="90"/>
      <c r="E582" s="90"/>
      <c r="F582" s="90"/>
      <c r="G582" s="91"/>
      <c r="H582" s="86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9"/>
      <c r="B583" s="89"/>
      <c r="C583" s="89"/>
      <c r="D583" s="90"/>
      <c r="E583" s="90"/>
      <c r="F583" s="90"/>
      <c r="G583" s="91"/>
      <c r="H583" s="86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9"/>
      <c r="B584" s="89"/>
      <c r="C584" s="89"/>
      <c r="D584" s="90"/>
      <c r="E584" s="90"/>
      <c r="F584" s="90"/>
      <c r="G584" s="91"/>
      <c r="H584" s="86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9"/>
      <c r="B585" s="89"/>
      <c r="C585" s="89"/>
      <c r="D585" s="90"/>
      <c r="E585" s="90"/>
      <c r="F585" s="90"/>
      <c r="G585" s="91"/>
      <c r="H585" s="86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9"/>
      <c r="B586" s="89"/>
      <c r="C586" s="89"/>
      <c r="D586" s="90"/>
      <c r="E586" s="90"/>
      <c r="F586" s="90"/>
      <c r="G586" s="91"/>
      <c r="H586" s="86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9"/>
      <c r="B587" s="89"/>
      <c r="C587" s="89"/>
      <c r="D587" s="90"/>
      <c r="E587" s="90"/>
      <c r="F587" s="90"/>
      <c r="G587" s="91"/>
      <c r="H587" s="86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9"/>
      <c r="B588" s="89"/>
      <c r="C588" s="89"/>
      <c r="D588" s="90"/>
      <c r="E588" s="90"/>
      <c r="F588" s="90"/>
      <c r="G588" s="91"/>
      <c r="H588" s="86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9"/>
      <c r="B589" s="89"/>
      <c r="C589" s="89"/>
      <c r="D589" s="90"/>
      <c r="E589" s="90"/>
      <c r="F589" s="90"/>
      <c r="G589" s="91"/>
      <c r="H589" s="86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9"/>
      <c r="B590" s="89"/>
      <c r="C590" s="89"/>
      <c r="D590" s="90"/>
      <c r="E590" s="90"/>
      <c r="F590" s="90"/>
      <c r="G590" s="91"/>
      <c r="H590" s="86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9"/>
      <c r="B591" s="89"/>
      <c r="C591" s="89"/>
      <c r="D591" s="90"/>
      <c r="E591" s="90"/>
      <c r="F591" s="90"/>
      <c r="G591" s="91"/>
      <c r="H591" s="86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9"/>
      <c r="B592" s="89"/>
      <c r="C592" s="89"/>
      <c r="D592" s="90"/>
      <c r="E592" s="90"/>
      <c r="F592" s="90"/>
      <c r="G592" s="91"/>
      <c r="H592" s="86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9"/>
      <c r="B593" s="89"/>
      <c r="C593" s="89"/>
      <c r="D593" s="90"/>
      <c r="E593" s="90"/>
      <c r="F593" s="90"/>
      <c r="G593" s="91"/>
      <c r="H593" s="86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9"/>
      <c r="B594" s="89"/>
      <c r="C594" s="89"/>
      <c r="D594" s="90"/>
      <c r="E594" s="90"/>
      <c r="F594" s="90"/>
      <c r="G594" s="91"/>
      <c r="H594" s="86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9"/>
      <c r="B595" s="89"/>
      <c r="C595" s="89"/>
      <c r="D595" s="90"/>
      <c r="E595" s="90"/>
      <c r="F595" s="90"/>
      <c r="G595" s="91"/>
      <c r="H595" s="86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9"/>
      <c r="B596" s="89"/>
      <c r="C596" s="89"/>
      <c r="D596" s="90"/>
      <c r="E596" s="90"/>
      <c r="F596" s="90"/>
      <c r="G596" s="91"/>
      <c r="H596" s="86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9"/>
      <c r="B597" s="89"/>
      <c r="C597" s="89"/>
      <c r="D597" s="90"/>
      <c r="E597" s="90"/>
      <c r="F597" s="90"/>
      <c r="G597" s="91"/>
      <c r="H597" s="86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9"/>
      <c r="B598" s="89"/>
      <c r="C598" s="89"/>
      <c r="D598" s="90"/>
      <c r="E598" s="90"/>
      <c r="F598" s="90"/>
      <c r="G598" s="91"/>
      <c r="H598" s="86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9"/>
      <c r="B599" s="89"/>
      <c r="C599" s="89"/>
      <c r="D599" s="90"/>
      <c r="E599" s="90"/>
      <c r="F599" s="90"/>
      <c r="G599" s="91"/>
      <c r="H599" s="86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9"/>
      <c r="B600" s="89"/>
      <c r="C600" s="89"/>
      <c r="D600" s="90"/>
      <c r="E600" s="90"/>
      <c r="F600" s="90"/>
      <c r="G600" s="91"/>
      <c r="H600" s="86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9"/>
      <c r="B601" s="89"/>
      <c r="C601" s="89"/>
      <c r="D601" s="90"/>
      <c r="E601" s="90"/>
      <c r="F601" s="90"/>
      <c r="G601" s="91"/>
      <c r="H601" s="86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9"/>
      <c r="B602" s="89"/>
      <c r="C602" s="89"/>
      <c r="D602" s="90"/>
      <c r="E602" s="90"/>
      <c r="F602" s="90"/>
      <c r="G602" s="91"/>
      <c r="H602" s="86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9"/>
      <c r="B603" s="89"/>
      <c r="C603" s="89"/>
      <c r="D603" s="90"/>
      <c r="E603" s="90"/>
      <c r="F603" s="90"/>
      <c r="G603" s="91"/>
      <c r="H603" s="86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9"/>
      <c r="B604" s="89"/>
      <c r="C604" s="89"/>
      <c r="D604" s="90"/>
      <c r="E604" s="90"/>
      <c r="F604" s="90"/>
      <c r="G604" s="91"/>
      <c r="H604" s="86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9"/>
      <c r="B605" s="89"/>
      <c r="C605" s="89"/>
      <c r="D605" s="90"/>
      <c r="E605" s="90"/>
      <c r="F605" s="90"/>
      <c r="G605" s="91"/>
      <c r="H605" s="86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9"/>
      <c r="B606" s="89"/>
      <c r="C606" s="89"/>
      <c r="D606" s="90"/>
      <c r="E606" s="90"/>
      <c r="F606" s="90"/>
      <c r="G606" s="91"/>
      <c r="H606" s="86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9"/>
      <c r="B607" s="89"/>
      <c r="C607" s="89"/>
      <c r="D607" s="90"/>
      <c r="E607" s="90"/>
      <c r="F607" s="90"/>
      <c r="G607" s="91"/>
      <c r="H607" s="86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9"/>
      <c r="B608" s="89"/>
      <c r="C608" s="89"/>
      <c r="D608" s="90"/>
      <c r="E608" s="90"/>
      <c r="F608" s="90"/>
      <c r="G608" s="91"/>
      <c r="H608" s="86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9"/>
      <c r="B609" s="89"/>
      <c r="C609" s="89"/>
      <c r="D609" s="90"/>
      <c r="E609" s="90"/>
      <c r="F609" s="90"/>
      <c r="G609" s="91"/>
      <c r="H609" s="86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9"/>
      <c r="B610" s="89"/>
      <c r="C610" s="89"/>
      <c r="D610" s="90"/>
      <c r="E610" s="90"/>
      <c r="F610" s="90"/>
      <c r="G610" s="91"/>
      <c r="H610" s="86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9"/>
      <c r="B611" s="89"/>
      <c r="C611" s="89"/>
      <c r="D611" s="90"/>
      <c r="E611" s="90"/>
      <c r="F611" s="90"/>
      <c r="G611" s="91"/>
      <c r="H611" s="86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9"/>
      <c r="B612" s="89"/>
      <c r="C612" s="89"/>
      <c r="D612" s="90"/>
      <c r="E612" s="90"/>
      <c r="F612" s="90"/>
      <c r="G612" s="91"/>
      <c r="H612" s="86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9"/>
      <c r="B613" s="89"/>
      <c r="C613" s="89"/>
      <c r="D613" s="90"/>
      <c r="E613" s="90"/>
      <c r="F613" s="90"/>
      <c r="G613" s="91"/>
      <c r="H613" s="86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9"/>
      <c r="B614" s="89"/>
      <c r="C614" s="89"/>
      <c r="D614" s="90"/>
      <c r="E614" s="90"/>
      <c r="F614" s="90"/>
      <c r="G614" s="91"/>
      <c r="H614" s="86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9"/>
      <c r="B615" s="89"/>
      <c r="C615" s="89"/>
      <c r="D615" s="90"/>
      <c r="E615" s="90"/>
      <c r="F615" s="90"/>
      <c r="G615" s="91"/>
      <c r="H615" s="86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9"/>
      <c r="B616" s="89"/>
      <c r="C616" s="89"/>
      <c r="D616" s="90"/>
      <c r="E616" s="90"/>
      <c r="F616" s="90"/>
      <c r="G616" s="91"/>
      <c r="H616" s="86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9"/>
      <c r="B617" s="89"/>
      <c r="C617" s="89"/>
      <c r="D617" s="90"/>
      <c r="E617" s="90"/>
      <c r="F617" s="90"/>
      <c r="G617" s="91"/>
      <c r="H617" s="86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9"/>
      <c r="B618" s="89"/>
      <c r="C618" s="89"/>
      <c r="D618" s="90"/>
      <c r="E618" s="90"/>
      <c r="F618" s="90"/>
      <c r="G618" s="91"/>
      <c r="H618" s="86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9"/>
      <c r="B619" s="89"/>
      <c r="C619" s="89"/>
      <c r="D619" s="90"/>
      <c r="E619" s="90"/>
      <c r="F619" s="90"/>
      <c r="G619" s="91"/>
      <c r="H619" s="86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9"/>
      <c r="B620" s="89"/>
      <c r="C620" s="89"/>
      <c r="D620" s="90"/>
      <c r="E620" s="90"/>
      <c r="F620" s="90"/>
      <c r="G620" s="91"/>
      <c r="H620" s="86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9"/>
      <c r="B621" s="89"/>
      <c r="C621" s="89"/>
      <c r="D621" s="90"/>
      <c r="E621" s="90"/>
      <c r="F621" s="90"/>
      <c r="G621" s="91"/>
      <c r="H621" s="86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9"/>
      <c r="B622" s="89"/>
      <c r="C622" s="89"/>
      <c r="D622" s="90"/>
      <c r="E622" s="90"/>
      <c r="F622" s="90"/>
      <c r="G622" s="91"/>
      <c r="H622" s="86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9"/>
      <c r="B623" s="89"/>
      <c r="C623" s="89"/>
      <c r="D623" s="90"/>
      <c r="E623" s="90"/>
      <c r="F623" s="90"/>
      <c r="G623" s="91"/>
      <c r="H623" s="86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9"/>
      <c r="B624" s="89"/>
      <c r="C624" s="89"/>
      <c r="D624" s="90"/>
      <c r="E624" s="90"/>
      <c r="F624" s="90"/>
      <c r="G624" s="91"/>
      <c r="H624" s="86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9"/>
      <c r="B625" s="89"/>
      <c r="C625" s="89"/>
      <c r="D625" s="90"/>
      <c r="E625" s="90"/>
      <c r="F625" s="90"/>
      <c r="G625" s="91"/>
      <c r="H625" s="86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9"/>
      <c r="B626" s="89"/>
      <c r="C626" s="89"/>
      <c r="D626" s="90"/>
      <c r="E626" s="90"/>
      <c r="F626" s="90"/>
      <c r="G626" s="91"/>
      <c r="H626" s="86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9"/>
      <c r="B627" s="89"/>
      <c r="C627" s="89"/>
      <c r="D627" s="90"/>
      <c r="E627" s="90"/>
      <c r="F627" s="90"/>
      <c r="G627" s="91"/>
      <c r="H627" s="86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9"/>
      <c r="B628" s="89"/>
      <c r="C628" s="89"/>
      <c r="D628" s="90"/>
      <c r="E628" s="90"/>
      <c r="F628" s="90"/>
      <c r="G628" s="91"/>
      <c r="H628" s="86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9"/>
      <c r="B629" s="89"/>
      <c r="C629" s="89"/>
      <c r="D629" s="90"/>
      <c r="E629" s="90"/>
      <c r="F629" s="90"/>
      <c r="G629" s="91"/>
      <c r="H629" s="86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9"/>
      <c r="B630" s="89"/>
      <c r="C630" s="89"/>
      <c r="D630" s="90"/>
      <c r="E630" s="90"/>
      <c r="F630" s="90"/>
      <c r="G630" s="91"/>
      <c r="H630" s="86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9"/>
      <c r="B631" s="89"/>
      <c r="C631" s="89"/>
      <c r="D631" s="90"/>
      <c r="E631" s="90"/>
      <c r="F631" s="90"/>
      <c r="G631" s="91"/>
      <c r="H631" s="86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9"/>
      <c r="B632" s="89"/>
      <c r="C632" s="89"/>
      <c r="D632" s="90"/>
      <c r="E632" s="90"/>
      <c r="F632" s="90"/>
      <c r="G632" s="91"/>
      <c r="H632" s="86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9"/>
      <c r="B633" s="89"/>
      <c r="C633" s="89"/>
      <c r="D633" s="90"/>
      <c r="E633" s="90"/>
      <c r="F633" s="90"/>
      <c r="G633" s="91"/>
      <c r="H633" s="86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9"/>
      <c r="B634" s="89"/>
      <c r="C634" s="89"/>
      <c r="D634" s="90"/>
      <c r="E634" s="90"/>
      <c r="F634" s="90"/>
      <c r="G634" s="91"/>
      <c r="H634" s="86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9"/>
      <c r="B635" s="89"/>
      <c r="C635" s="89"/>
      <c r="D635" s="90"/>
      <c r="E635" s="90"/>
      <c r="F635" s="90"/>
      <c r="G635" s="91"/>
      <c r="H635" s="86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9"/>
      <c r="B636" s="89"/>
      <c r="C636" s="89"/>
      <c r="D636" s="90"/>
      <c r="E636" s="90"/>
      <c r="F636" s="90"/>
      <c r="G636" s="91"/>
      <c r="H636" s="86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9"/>
      <c r="B637" s="89"/>
      <c r="C637" s="89"/>
      <c r="D637" s="90"/>
      <c r="E637" s="90"/>
      <c r="F637" s="90"/>
      <c r="G637" s="91"/>
      <c r="H637" s="86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9"/>
      <c r="B638" s="89"/>
      <c r="C638" s="89"/>
      <c r="D638" s="90"/>
      <c r="E638" s="90"/>
      <c r="F638" s="90"/>
      <c r="G638" s="91"/>
      <c r="H638" s="86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9"/>
      <c r="B639" s="89"/>
      <c r="C639" s="89"/>
      <c r="D639" s="90"/>
      <c r="E639" s="90"/>
      <c r="F639" s="90"/>
      <c r="G639" s="91"/>
      <c r="H639" s="86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9"/>
      <c r="B640" s="89"/>
      <c r="C640" s="89"/>
      <c r="D640" s="90"/>
      <c r="E640" s="90"/>
      <c r="F640" s="90"/>
      <c r="G640" s="91"/>
      <c r="H640" s="86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9"/>
      <c r="B641" s="89"/>
      <c r="C641" s="89"/>
      <c r="D641" s="90"/>
      <c r="E641" s="90"/>
      <c r="F641" s="90"/>
      <c r="G641" s="91"/>
      <c r="H641" s="86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9"/>
      <c r="B642" s="89"/>
      <c r="C642" s="89"/>
      <c r="D642" s="90"/>
      <c r="E642" s="90"/>
      <c r="F642" s="90"/>
      <c r="G642" s="91"/>
      <c r="H642" s="86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9"/>
      <c r="B643" s="89"/>
      <c r="C643" s="89"/>
      <c r="D643" s="90"/>
      <c r="E643" s="90"/>
      <c r="F643" s="90"/>
      <c r="G643" s="91"/>
      <c r="H643" s="86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9"/>
      <c r="B644" s="89"/>
      <c r="C644" s="89"/>
      <c r="D644" s="90"/>
      <c r="E644" s="90"/>
      <c r="F644" s="90"/>
      <c r="G644" s="91"/>
      <c r="H644" s="86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9"/>
      <c r="B645" s="89"/>
      <c r="C645" s="89"/>
      <c r="D645" s="90"/>
      <c r="E645" s="90"/>
      <c r="F645" s="90"/>
      <c r="G645" s="91"/>
      <c r="H645" s="86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9"/>
      <c r="B646" s="89"/>
      <c r="C646" s="89"/>
      <c r="D646" s="90"/>
      <c r="E646" s="90"/>
      <c r="F646" s="90"/>
      <c r="G646" s="91"/>
      <c r="H646" s="86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9"/>
      <c r="B647" s="89"/>
      <c r="C647" s="89"/>
      <c r="D647" s="90"/>
      <c r="E647" s="90"/>
      <c r="F647" s="90"/>
      <c r="G647" s="91"/>
      <c r="H647" s="86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9"/>
      <c r="B648" s="89"/>
      <c r="C648" s="89"/>
      <c r="D648" s="90"/>
      <c r="E648" s="90"/>
      <c r="F648" s="90"/>
      <c r="G648" s="91"/>
      <c r="H648" s="86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9"/>
      <c r="B649" s="89"/>
      <c r="C649" s="89"/>
      <c r="D649" s="90"/>
      <c r="E649" s="90"/>
      <c r="F649" s="90"/>
      <c r="G649" s="91"/>
      <c r="H649" s="86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9"/>
      <c r="B650" s="89"/>
      <c r="C650" s="89"/>
      <c r="D650" s="90"/>
      <c r="E650" s="90"/>
      <c r="F650" s="90"/>
      <c r="G650" s="91"/>
      <c r="H650" s="86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9"/>
      <c r="B651" s="89"/>
      <c r="C651" s="89"/>
      <c r="D651" s="90"/>
      <c r="E651" s="90"/>
      <c r="F651" s="90"/>
      <c r="G651" s="91"/>
      <c r="H651" s="86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9"/>
      <c r="B652" s="89"/>
      <c r="C652" s="89"/>
      <c r="D652" s="90"/>
      <c r="E652" s="90"/>
      <c r="F652" s="90"/>
      <c r="G652" s="91"/>
      <c r="H652" s="86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9"/>
      <c r="B653" s="89"/>
      <c r="C653" s="89"/>
      <c r="D653" s="90"/>
      <c r="E653" s="90"/>
      <c r="F653" s="90"/>
      <c r="G653" s="91"/>
      <c r="H653" s="86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9"/>
      <c r="B654" s="89"/>
      <c r="C654" s="89"/>
      <c r="D654" s="90"/>
      <c r="E654" s="90"/>
      <c r="F654" s="90"/>
      <c r="G654" s="91"/>
      <c r="H654" s="86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9"/>
      <c r="B655" s="89"/>
      <c r="C655" s="89"/>
      <c r="D655" s="90"/>
      <c r="E655" s="90"/>
      <c r="F655" s="90"/>
      <c r="G655" s="91"/>
      <c r="H655" s="86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9"/>
      <c r="B656" s="89"/>
      <c r="C656" s="89"/>
      <c r="D656" s="90"/>
      <c r="E656" s="90"/>
      <c r="F656" s="90"/>
      <c r="G656" s="91"/>
      <c r="H656" s="86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9"/>
      <c r="B657" s="89"/>
      <c r="C657" s="89"/>
      <c r="D657" s="90"/>
      <c r="E657" s="90"/>
      <c r="F657" s="90"/>
      <c r="G657" s="91"/>
      <c r="H657" s="86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9"/>
      <c r="B658" s="89"/>
      <c r="C658" s="89"/>
      <c r="D658" s="90"/>
      <c r="E658" s="90"/>
      <c r="F658" s="90"/>
      <c r="G658" s="91"/>
      <c r="H658" s="86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9"/>
      <c r="B659" s="89"/>
      <c r="C659" s="89"/>
      <c r="D659" s="90"/>
      <c r="E659" s="90"/>
      <c r="F659" s="90"/>
      <c r="G659" s="91"/>
      <c r="H659" s="86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9"/>
      <c r="B660" s="89"/>
      <c r="C660" s="89"/>
      <c r="D660" s="90"/>
      <c r="E660" s="90"/>
      <c r="F660" s="90"/>
      <c r="G660" s="91"/>
      <c r="H660" s="86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9"/>
      <c r="B661" s="89"/>
      <c r="C661" s="89"/>
      <c r="D661" s="90"/>
      <c r="E661" s="90"/>
      <c r="F661" s="90"/>
      <c r="G661" s="91"/>
      <c r="H661" s="86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9"/>
      <c r="B662" s="89"/>
      <c r="C662" s="89"/>
      <c r="D662" s="90"/>
      <c r="E662" s="90"/>
      <c r="F662" s="90"/>
      <c r="G662" s="91"/>
      <c r="H662" s="86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9"/>
      <c r="B663" s="89"/>
      <c r="C663" s="89"/>
      <c r="D663" s="90"/>
      <c r="E663" s="90"/>
      <c r="F663" s="90"/>
      <c r="G663" s="91"/>
      <c r="H663" s="86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9"/>
      <c r="B664" s="89"/>
      <c r="C664" s="89"/>
      <c r="D664" s="90"/>
      <c r="E664" s="90"/>
      <c r="F664" s="90"/>
      <c r="G664" s="91"/>
      <c r="H664" s="86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9"/>
      <c r="B665" s="89"/>
      <c r="C665" s="89"/>
      <c r="D665" s="90"/>
      <c r="E665" s="90"/>
      <c r="F665" s="90"/>
      <c r="G665" s="91"/>
      <c r="H665" s="86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9"/>
      <c r="B666" s="89"/>
      <c r="C666" s="89"/>
      <c r="D666" s="90"/>
      <c r="E666" s="90"/>
      <c r="F666" s="90"/>
      <c r="G666" s="91"/>
      <c r="H666" s="86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9"/>
      <c r="B667" s="89"/>
      <c r="C667" s="89"/>
      <c r="D667" s="90"/>
      <c r="E667" s="90"/>
      <c r="F667" s="90"/>
      <c r="G667" s="91"/>
      <c r="H667" s="86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9"/>
      <c r="B668" s="89"/>
      <c r="C668" s="89"/>
      <c r="D668" s="90"/>
      <c r="E668" s="90"/>
      <c r="F668" s="90"/>
      <c r="G668" s="91"/>
      <c r="H668" s="86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9"/>
      <c r="B669" s="89"/>
      <c r="C669" s="89"/>
      <c r="D669" s="90"/>
      <c r="E669" s="90"/>
      <c r="F669" s="90"/>
      <c r="G669" s="91"/>
      <c r="H669" s="86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9"/>
      <c r="B670" s="89"/>
      <c r="C670" s="89"/>
      <c r="D670" s="90"/>
      <c r="E670" s="90"/>
      <c r="F670" s="90"/>
      <c r="G670" s="91"/>
      <c r="H670" s="86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9"/>
      <c r="B671" s="89"/>
      <c r="C671" s="89"/>
      <c r="D671" s="90"/>
      <c r="E671" s="90"/>
      <c r="F671" s="90"/>
      <c r="G671" s="91"/>
      <c r="H671" s="86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9"/>
      <c r="B672" s="89"/>
      <c r="C672" s="89"/>
      <c r="D672" s="90"/>
      <c r="E672" s="90"/>
      <c r="F672" s="90"/>
      <c r="G672" s="91"/>
      <c r="H672" s="86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9"/>
      <c r="B673" s="89"/>
      <c r="C673" s="89"/>
      <c r="D673" s="90"/>
      <c r="E673" s="90"/>
      <c r="F673" s="90"/>
      <c r="G673" s="91"/>
      <c r="H673" s="86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9"/>
      <c r="B674" s="89"/>
      <c r="C674" s="89"/>
      <c r="D674" s="90"/>
      <c r="E674" s="90"/>
      <c r="F674" s="90"/>
      <c r="G674" s="91"/>
      <c r="H674" s="86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9"/>
      <c r="B675" s="89"/>
      <c r="C675" s="89"/>
      <c r="D675" s="90"/>
      <c r="E675" s="90"/>
      <c r="F675" s="90"/>
      <c r="G675" s="91"/>
      <c r="H675" s="86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9"/>
      <c r="B676" s="89"/>
      <c r="C676" s="89"/>
      <c r="D676" s="90"/>
      <c r="E676" s="90"/>
      <c r="F676" s="90"/>
      <c r="G676" s="91"/>
      <c r="H676" s="86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9"/>
      <c r="B677" s="89"/>
      <c r="C677" s="89"/>
      <c r="D677" s="90"/>
      <c r="E677" s="90"/>
      <c r="F677" s="90"/>
      <c r="G677" s="91"/>
      <c r="H677" s="86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9"/>
      <c r="B678" s="89"/>
      <c r="C678" s="89"/>
      <c r="D678" s="90"/>
      <c r="E678" s="90"/>
      <c r="F678" s="90"/>
      <c r="G678" s="91"/>
      <c r="H678" s="86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9"/>
      <c r="B679" s="89"/>
      <c r="C679" s="89"/>
      <c r="D679" s="90"/>
      <c r="E679" s="90"/>
      <c r="F679" s="90"/>
      <c r="G679" s="91"/>
      <c r="H679" s="86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9"/>
      <c r="B680" s="89"/>
      <c r="C680" s="89"/>
      <c r="D680" s="90"/>
      <c r="E680" s="90"/>
      <c r="F680" s="90"/>
      <c r="G680" s="91"/>
      <c r="H680" s="86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9"/>
      <c r="B681" s="89"/>
      <c r="C681" s="89"/>
      <c r="D681" s="90"/>
      <c r="E681" s="90"/>
      <c r="F681" s="90"/>
      <c r="G681" s="91"/>
      <c r="H681" s="86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9"/>
      <c r="B682" s="89"/>
      <c r="C682" s="89"/>
      <c r="D682" s="90"/>
      <c r="E682" s="90"/>
      <c r="F682" s="90"/>
      <c r="G682" s="91"/>
      <c r="H682" s="86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9"/>
      <c r="B683" s="89"/>
      <c r="C683" s="89"/>
      <c r="D683" s="90"/>
      <c r="E683" s="90"/>
      <c r="F683" s="90"/>
      <c r="G683" s="91"/>
      <c r="H683" s="86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9"/>
      <c r="B684" s="89"/>
      <c r="C684" s="89"/>
      <c r="D684" s="90"/>
      <c r="E684" s="90"/>
      <c r="F684" s="90"/>
      <c r="G684" s="91"/>
      <c r="H684" s="86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9"/>
      <c r="B685" s="89"/>
      <c r="C685" s="89"/>
      <c r="D685" s="90"/>
      <c r="E685" s="90"/>
      <c r="F685" s="90"/>
      <c r="G685" s="91"/>
      <c r="H685" s="86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9"/>
      <c r="B686" s="89"/>
      <c r="C686" s="89"/>
      <c r="D686" s="90"/>
      <c r="E686" s="90"/>
      <c r="F686" s="90"/>
      <c r="G686" s="91"/>
      <c r="H686" s="86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9"/>
      <c r="B687" s="89"/>
      <c r="C687" s="89"/>
      <c r="D687" s="90"/>
      <c r="E687" s="90"/>
      <c r="F687" s="90"/>
      <c r="G687" s="91"/>
      <c r="H687" s="86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9"/>
      <c r="B688" s="89"/>
      <c r="C688" s="89"/>
      <c r="D688" s="90"/>
      <c r="E688" s="90"/>
      <c r="F688" s="90"/>
      <c r="G688" s="91"/>
      <c r="H688" s="86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9"/>
      <c r="B689" s="89"/>
      <c r="C689" s="89"/>
      <c r="D689" s="90"/>
      <c r="E689" s="90"/>
      <c r="F689" s="90"/>
      <c r="G689" s="91"/>
      <c r="H689" s="86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9"/>
      <c r="B690" s="89"/>
      <c r="C690" s="89"/>
      <c r="D690" s="90"/>
      <c r="E690" s="90"/>
      <c r="F690" s="90"/>
      <c r="G690" s="91"/>
      <c r="H690" s="86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9"/>
      <c r="B691" s="89"/>
      <c r="C691" s="89"/>
      <c r="D691" s="90"/>
      <c r="E691" s="90"/>
      <c r="F691" s="90"/>
      <c r="G691" s="91"/>
      <c r="H691" s="86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9"/>
      <c r="B692" s="89"/>
      <c r="C692" s="89"/>
      <c r="D692" s="90"/>
      <c r="E692" s="90"/>
      <c r="F692" s="90"/>
      <c r="G692" s="91"/>
      <c r="H692" s="86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9"/>
      <c r="B693" s="89"/>
      <c r="C693" s="89"/>
      <c r="D693" s="90"/>
      <c r="E693" s="90"/>
      <c r="F693" s="90"/>
      <c r="G693" s="91"/>
      <c r="H693" s="86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9"/>
      <c r="B694" s="89"/>
      <c r="C694" s="89"/>
      <c r="D694" s="90"/>
      <c r="E694" s="90"/>
      <c r="F694" s="90"/>
      <c r="G694" s="91"/>
      <c r="H694" s="86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9"/>
      <c r="B695" s="89"/>
      <c r="C695" s="89"/>
      <c r="D695" s="90"/>
      <c r="E695" s="90"/>
      <c r="F695" s="90"/>
      <c r="G695" s="91"/>
      <c r="H695" s="86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9"/>
      <c r="B696" s="89"/>
      <c r="C696" s="89"/>
      <c r="D696" s="90"/>
      <c r="E696" s="90"/>
      <c r="F696" s="90"/>
      <c r="G696" s="91"/>
      <c r="H696" s="86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9"/>
      <c r="B697" s="89"/>
      <c r="C697" s="89"/>
      <c r="D697" s="90"/>
      <c r="E697" s="90"/>
      <c r="F697" s="90"/>
      <c r="G697" s="91"/>
      <c r="H697" s="86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9"/>
      <c r="B698" s="89"/>
      <c r="C698" s="89"/>
      <c r="D698" s="90"/>
      <c r="E698" s="90"/>
      <c r="F698" s="90"/>
      <c r="G698" s="91"/>
      <c r="H698" s="86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9"/>
      <c r="B699" s="89"/>
      <c r="C699" s="89"/>
      <c r="D699" s="90"/>
      <c r="E699" s="90"/>
      <c r="F699" s="90"/>
      <c r="G699" s="91"/>
      <c r="H699" s="86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9"/>
      <c r="B700" s="89"/>
      <c r="C700" s="89"/>
      <c r="D700" s="90"/>
      <c r="E700" s="90"/>
      <c r="F700" s="90"/>
      <c r="G700" s="91"/>
      <c r="H700" s="86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9"/>
      <c r="B701" s="89"/>
      <c r="C701" s="89"/>
      <c r="D701" s="90"/>
      <c r="E701" s="90"/>
      <c r="F701" s="90"/>
      <c r="G701" s="91"/>
      <c r="H701" s="86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9"/>
      <c r="B702" s="89"/>
      <c r="C702" s="89"/>
      <c r="D702" s="90"/>
      <c r="E702" s="90"/>
      <c r="F702" s="90"/>
      <c r="G702" s="91"/>
      <c r="H702" s="86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9"/>
      <c r="B703" s="89"/>
      <c r="C703" s="89"/>
      <c r="D703" s="90"/>
      <c r="E703" s="90"/>
      <c r="F703" s="90"/>
      <c r="G703" s="91"/>
      <c r="H703" s="86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9"/>
      <c r="B704" s="89"/>
      <c r="C704" s="89"/>
      <c r="D704" s="90"/>
      <c r="E704" s="90"/>
      <c r="F704" s="90"/>
      <c r="G704" s="91"/>
      <c r="H704" s="86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9"/>
      <c r="B705" s="89"/>
      <c r="C705" s="89"/>
      <c r="D705" s="90"/>
      <c r="E705" s="90"/>
      <c r="F705" s="90"/>
      <c r="G705" s="91"/>
      <c r="H705" s="86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9"/>
      <c r="B706" s="89"/>
      <c r="C706" s="89"/>
      <c r="D706" s="90"/>
      <c r="E706" s="90"/>
      <c r="F706" s="90"/>
      <c r="G706" s="91"/>
      <c r="H706" s="86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9"/>
      <c r="B707" s="89"/>
      <c r="C707" s="89"/>
      <c r="D707" s="90"/>
      <c r="E707" s="90"/>
      <c r="F707" s="90"/>
      <c r="G707" s="91"/>
      <c r="H707" s="86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9"/>
      <c r="B708" s="89"/>
      <c r="C708" s="89"/>
      <c r="D708" s="90"/>
      <c r="E708" s="90"/>
      <c r="F708" s="90"/>
      <c r="G708" s="91"/>
      <c r="H708" s="86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9"/>
      <c r="B709" s="89"/>
      <c r="C709" s="89"/>
      <c r="D709" s="90"/>
      <c r="E709" s="90"/>
      <c r="F709" s="90"/>
      <c r="G709" s="91"/>
      <c r="H709" s="86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9"/>
      <c r="B710" s="89"/>
      <c r="C710" s="89"/>
      <c r="D710" s="90"/>
      <c r="E710" s="90"/>
      <c r="F710" s="90"/>
      <c r="G710" s="91"/>
      <c r="H710" s="86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9"/>
      <c r="B711" s="89"/>
      <c r="C711" s="89"/>
      <c r="D711" s="90"/>
      <c r="E711" s="90"/>
      <c r="F711" s="90"/>
      <c r="G711" s="91"/>
      <c r="H711" s="86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9"/>
      <c r="B712" s="89"/>
      <c r="C712" s="89"/>
      <c r="D712" s="90"/>
      <c r="E712" s="90"/>
      <c r="F712" s="90"/>
      <c r="G712" s="91"/>
      <c r="H712" s="86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9"/>
      <c r="B713" s="89"/>
      <c r="C713" s="89"/>
      <c r="D713" s="90"/>
      <c r="E713" s="90"/>
      <c r="F713" s="90"/>
      <c r="G713" s="91"/>
      <c r="H713" s="86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9"/>
      <c r="B714" s="89"/>
      <c r="C714" s="89"/>
      <c r="D714" s="90"/>
      <c r="E714" s="90"/>
      <c r="F714" s="90"/>
      <c r="G714" s="91"/>
      <c r="H714" s="86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9"/>
      <c r="B715" s="89"/>
      <c r="C715" s="89"/>
      <c r="D715" s="90"/>
      <c r="E715" s="90"/>
      <c r="F715" s="90"/>
      <c r="G715" s="91"/>
      <c r="H715" s="86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9"/>
      <c r="B716" s="89"/>
      <c r="C716" s="89"/>
      <c r="D716" s="90"/>
      <c r="E716" s="90"/>
      <c r="F716" s="90"/>
      <c r="G716" s="91"/>
      <c r="H716" s="86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9"/>
      <c r="B717" s="89"/>
      <c r="C717" s="89"/>
      <c r="D717" s="90"/>
      <c r="E717" s="90"/>
      <c r="F717" s="90"/>
      <c r="G717" s="91"/>
      <c r="H717" s="86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9"/>
      <c r="B718" s="89"/>
      <c r="C718" s="89"/>
      <c r="D718" s="90"/>
      <c r="E718" s="90"/>
      <c r="F718" s="90"/>
      <c r="G718" s="91"/>
      <c r="H718" s="86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9"/>
      <c r="B719" s="89"/>
      <c r="C719" s="89"/>
      <c r="D719" s="90"/>
      <c r="E719" s="90"/>
      <c r="F719" s="90"/>
      <c r="G719" s="91"/>
      <c r="H719" s="86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9"/>
      <c r="B720" s="89"/>
      <c r="C720" s="89"/>
      <c r="D720" s="90"/>
      <c r="E720" s="90"/>
      <c r="F720" s="90"/>
      <c r="G720" s="91"/>
      <c r="H720" s="86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9"/>
      <c r="B721" s="89"/>
      <c r="C721" s="89"/>
      <c r="D721" s="90"/>
      <c r="E721" s="90"/>
      <c r="F721" s="90"/>
      <c r="G721" s="91"/>
      <c r="H721" s="86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9"/>
      <c r="B722" s="89"/>
      <c r="C722" s="89"/>
      <c r="D722" s="90"/>
      <c r="E722" s="90"/>
      <c r="F722" s="90"/>
      <c r="G722" s="91"/>
      <c r="H722" s="86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9"/>
      <c r="B723" s="89"/>
      <c r="C723" s="89"/>
      <c r="D723" s="90"/>
      <c r="E723" s="90"/>
      <c r="F723" s="90"/>
      <c r="G723" s="91"/>
      <c r="H723" s="86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9"/>
      <c r="B724" s="89"/>
      <c r="C724" s="89"/>
      <c r="D724" s="90"/>
      <c r="E724" s="90"/>
      <c r="F724" s="90"/>
      <c r="G724" s="91"/>
      <c r="H724" s="86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9"/>
      <c r="B725" s="89"/>
      <c r="C725" s="89"/>
      <c r="D725" s="90"/>
      <c r="E725" s="90"/>
      <c r="F725" s="90"/>
      <c r="G725" s="91"/>
      <c r="H725" s="86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9"/>
      <c r="B726" s="89"/>
      <c r="C726" s="89"/>
      <c r="D726" s="90"/>
      <c r="E726" s="90"/>
      <c r="F726" s="90"/>
      <c r="G726" s="91"/>
      <c r="H726" s="86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9"/>
      <c r="B727" s="89"/>
      <c r="C727" s="89"/>
      <c r="D727" s="90"/>
      <c r="E727" s="90"/>
      <c r="F727" s="90"/>
      <c r="G727" s="91"/>
      <c r="H727" s="86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9"/>
      <c r="B728" s="89"/>
      <c r="C728" s="89"/>
      <c r="D728" s="90"/>
      <c r="E728" s="90"/>
      <c r="F728" s="90"/>
      <c r="G728" s="91"/>
      <c r="H728" s="86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9"/>
      <c r="B729" s="89"/>
      <c r="C729" s="89"/>
      <c r="D729" s="90"/>
      <c r="E729" s="90"/>
      <c r="F729" s="90"/>
      <c r="G729" s="91"/>
      <c r="H729" s="86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9"/>
      <c r="B730" s="89"/>
      <c r="C730" s="89"/>
      <c r="D730" s="90"/>
      <c r="E730" s="90"/>
      <c r="F730" s="90"/>
      <c r="G730" s="91"/>
      <c r="H730" s="86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9"/>
      <c r="B731" s="89"/>
      <c r="C731" s="89"/>
      <c r="D731" s="90"/>
      <c r="E731" s="90"/>
      <c r="F731" s="90"/>
      <c r="G731" s="91"/>
      <c r="H731" s="86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9"/>
      <c r="B732" s="89"/>
      <c r="C732" s="89"/>
      <c r="D732" s="90"/>
      <c r="E732" s="90"/>
      <c r="F732" s="90"/>
      <c r="G732" s="91"/>
      <c r="H732" s="86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9"/>
      <c r="B733" s="89"/>
      <c r="C733" s="89"/>
      <c r="D733" s="90"/>
      <c r="E733" s="90"/>
      <c r="F733" s="90"/>
      <c r="G733" s="91"/>
      <c r="H733" s="86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9"/>
      <c r="B734" s="89"/>
      <c r="C734" s="89"/>
      <c r="D734" s="90"/>
      <c r="E734" s="90"/>
      <c r="F734" s="90"/>
      <c r="G734" s="91"/>
      <c r="H734" s="86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9"/>
      <c r="B735" s="89"/>
      <c r="C735" s="89"/>
      <c r="D735" s="90"/>
      <c r="E735" s="90"/>
      <c r="F735" s="90"/>
      <c r="G735" s="91"/>
      <c r="H735" s="86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9"/>
      <c r="B736" s="89"/>
      <c r="C736" s="89"/>
      <c r="D736" s="90"/>
      <c r="E736" s="90"/>
      <c r="F736" s="90"/>
      <c r="G736" s="91"/>
      <c r="H736" s="86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9"/>
      <c r="B737" s="89"/>
      <c r="C737" s="89"/>
      <c r="D737" s="90"/>
      <c r="E737" s="90"/>
      <c r="F737" s="90"/>
      <c r="G737" s="91"/>
      <c r="H737" s="86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9"/>
      <c r="B738" s="89"/>
      <c r="C738" s="89"/>
      <c r="D738" s="90"/>
      <c r="E738" s="90"/>
      <c r="F738" s="90"/>
      <c r="G738" s="91"/>
      <c r="H738" s="86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9"/>
      <c r="B739" s="89"/>
      <c r="C739" s="89"/>
      <c r="D739" s="90"/>
      <c r="E739" s="90"/>
      <c r="F739" s="90"/>
      <c r="G739" s="91"/>
      <c r="H739" s="86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9"/>
      <c r="B740" s="89"/>
      <c r="C740" s="89"/>
      <c r="D740" s="90"/>
      <c r="E740" s="90"/>
      <c r="F740" s="90"/>
      <c r="G740" s="91"/>
      <c r="H740" s="86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9"/>
      <c r="B741" s="89"/>
      <c r="C741" s="89"/>
      <c r="D741" s="90"/>
      <c r="E741" s="90"/>
      <c r="F741" s="90"/>
      <c r="G741" s="91"/>
      <c r="H741" s="86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9"/>
      <c r="B742" s="89"/>
      <c r="C742" s="89"/>
      <c r="D742" s="90"/>
      <c r="E742" s="90"/>
      <c r="F742" s="90"/>
      <c r="G742" s="91"/>
      <c r="H742" s="86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9"/>
      <c r="B743" s="89"/>
      <c r="C743" s="89"/>
      <c r="D743" s="90"/>
      <c r="E743" s="90"/>
      <c r="F743" s="90"/>
      <c r="G743" s="91"/>
      <c r="H743" s="86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9"/>
      <c r="B744" s="89"/>
      <c r="C744" s="89"/>
      <c r="D744" s="90"/>
      <c r="E744" s="90"/>
      <c r="F744" s="90"/>
      <c r="G744" s="91"/>
      <c r="H744" s="86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9"/>
      <c r="B745" s="89"/>
      <c r="C745" s="89"/>
      <c r="D745" s="90"/>
      <c r="E745" s="90"/>
      <c r="F745" s="90"/>
      <c r="G745" s="91"/>
      <c r="H745" s="86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9"/>
      <c r="B746" s="89"/>
      <c r="C746" s="89"/>
      <c r="D746" s="90"/>
      <c r="E746" s="90"/>
      <c r="F746" s="90"/>
      <c r="G746" s="91"/>
      <c r="H746" s="86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9"/>
      <c r="B747" s="89"/>
      <c r="C747" s="89"/>
      <c r="D747" s="90"/>
      <c r="E747" s="90"/>
      <c r="F747" s="90"/>
      <c r="G747" s="91"/>
      <c r="H747" s="86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9"/>
      <c r="B748" s="89"/>
      <c r="C748" s="89"/>
      <c r="D748" s="90"/>
      <c r="E748" s="90"/>
      <c r="F748" s="90"/>
      <c r="G748" s="91"/>
      <c r="H748" s="86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9"/>
      <c r="B749" s="89"/>
      <c r="C749" s="89"/>
      <c r="D749" s="90"/>
      <c r="E749" s="90"/>
      <c r="F749" s="90"/>
      <c r="G749" s="91"/>
      <c r="H749" s="86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9"/>
      <c r="B750" s="89"/>
      <c r="C750" s="89"/>
      <c r="D750" s="90"/>
      <c r="E750" s="90"/>
      <c r="F750" s="90"/>
      <c r="G750" s="91"/>
      <c r="H750" s="86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9"/>
      <c r="B751" s="89"/>
      <c r="C751" s="89"/>
      <c r="D751" s="90"/>
      <c r="E751" s="90"/>
      <c r="F751" s="90"/>
      <c r="G751" s="91"/>
      <c r="H751" s="86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9"/>
      <c r="B752" s="89"/>
      <c r="C752" s="89"/>
      <c r="D752" s="90"/>
      <c r="E752" s="90"/>
      <c r="F752" s="90"/>
      <c r="G752" s="91"/>
      <c r="H752" s="86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9"/>
      <c r="B753" s="89"/>
      <c r="C753" s="89"/>
      <c r="D753" s="90"/>
      <c r="E753" s="90"/>
      <c r="F753" s="90"/>
      <c r="G753" s="91"/>
      <c r="H753" s="86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9"/>
      <c r="B754" s="89"/>
      <c r="C754" s="89"/>
      <c r="D754" s="90"/>
      <c r="E754" s="90"/>
      <c r="F754" s="90"/>
      <c r="G754" s="91"/>
      <c r="H754" s="86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9"/>
      <c r="B755" s="89"/>
      <c r="C755" s="89"/>
      <c r="D755" s="90"/>
      <c r="E755" s="90"/>
      <c r="F755" s="90"/>
      <c r="G755" s="91"/>
      <c r="H755" s="86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9"/>
      <c r="B756" s="89"/>
      <c r="C756" s="89"/>
      <c r="D756" s="90"/>
      <c r="E756" s="90"/>
      <c r="F756" s="90"/>
      <c r="G756" s="91"/>
      <c r="H756" s="86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9"/>
      <c r="B757" s="89"/>
      <c r="C757" s="89"/>
      <c r="D757" s="90"/>
      <c r="E757" s="90"/>
      <c r="F757" s="90"/>
      <c r="G757" s="91"/>
      <c r="H757" s="86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9"/>
      <c r="B758" s="89"/>
      <c r="C758" s="89"/>
      <c r="D758" s="90"/>
      <c r="E758" s="90"/>
      <c r="F758" s="90"/>
      <c r="G758" s="91"/>
      <c r="H758" s="86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9"/>
      <c r="B759" s="89"/>
      <c r="C759" s="89"/>
      <c r="D759" s="90"/>
      <c r="E759" s="90"/>
      <c r="F759" s="90"/>
      <c r="G759" s="91"/>
      <c r="H759" s="86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9"/>
      <c r="B760" s="89"/>
      <c r="C760" s="89"/>
      <c r="D760" s="90"/>
      <c r="E760" s="90"/>
      <c r="F760" s="90"/>
      <c r="G760" s="91"/>
      <c r="H760" s="86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9"/>
      <c r="B761" s="89"/>
      <c r="C761" s="89"/>
      <c r="D761" s="90"/>
      <c r="E761" s="90"/>
      <c r="F761" s="90"/>
      <c r="G761" s="91"/>
      <c r="H761" s="86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9"/>
      <c r="B762" s="89"/>
      <c r="C762" s="89"/>
      <c r="D762" s="90"/>
      <c r="E762" s="90"/>
      <c r="F762" s="90"/>
      <c r="G762" s="91"/>
      <c r="H762" s="86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9"/>
      <c r="B763" s="89"/>
      <c r="C763" s="89"/>
      <c r="D763" s="90"/>
      <c r="E763" s="90"/>
      <c r="F763" s="90"/>
      <c r="G763" s="91"/>
      <c r="H763" s="86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9"/>
      <c r="B764" s="89"/>
      <c r="C764" s="89"/>
      <c r="D764" s="90"/>
      <c r="E764" s="90"/>
      <c r="F764" s="90"/>
      <c r="G764" s="91"/>
      <c r="H764" s="86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9"/>
      <c r="B765" s="89"/>
      <c r="C765" s="89"/>
      <c r="D765" s="90"/>
      <c r="E765" s="90"/>
      <c r="F765" s="90"/>
      <c r="G765" s="91"/>
      <c r="H765" s="86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9"/>
      <c r="B766" s="89"/>
      <c r="C766" s="89"/>
      <c r="D766" s="90"/>
      <c r="E766" s="90"/>
      <c r="F766" s="90"/>
      <c r="G766" s="91"/>
      <c r="H766" s="86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9"/>
      <c r="B767" s="89"/>
      <c r="C767" s="89"/>
      <c r="D767" s="90"/>
      <c r="E767" s="90"/>
      <c r="F767" s="90"/>
      <c r="G767" s="91"/>
      <c r="H767" s="86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9"/>
      <c r="B768" s="89"/>
      <c r="C768" s="89"/>
      <c r="D768" s="90"/>
      <c r="E768" s="90"/>
      <c r="F768" s="90"/>
      <c r="G768" s="91"/>
      <c r="H768" s="86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9"/>
      <c r="B769" s="89"/>
      <c r="C769" s="89"/>
      <c r="D769" s="90"/>
      <c r="E769" s="90"/>
      <c r="F769" s="90"/>
      <c r="G769" s="91"/>
      <c r="H769" s="86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9"/>
      <c r="B770" s="89"/>
      <c r="C770" s="89"/>
      <c r="D770" s="90"/>
      <c r="E770" s="90"/>
      <c r="F770" s="90"/>
      <c r="G770" s="91"/>
      <c r="H770" s="86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9"/>
      <c r="B771" s="89"/>
      <c r="C771" s="89"/>
      <c r="D771" s="90"/>
      <c r="E771" s="90"/>
      <c r="F771" s="90"/>
      <c r="G771" s="91"/>
      <c r="H771" s="86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9"/>
      <c r="B772" s="89"/>
      <c r="C772" s="89"/>
      <c r="D772" s="90"/>
      <c r="E772" s="90"/>
      <c r="F772" s="90"/>
      <c r="G772" s="91"/>
      <c r="H772" s="86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9"/>
      <c r="B773" s="89"/>
      <c r="C773" s="89"/>
      <c r="D773" s="90"/>
      <c r="E773" s="90"/>
      <c r="F773" s="90"/>
      <c r="G773" s="91"/>
      <c r="H773" s="86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9"/>
      <c r="B774" s="89"/>
      <c r="C774" s="89"/>
      <c r="D774" s="90"/>
      <c r="E774" s="90"/>
      <c r="F774" s="90"/>
      <c r="G774" s="91"/>
      <c r="H774" s="86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9"/>
      <c r="B775" s="89"/>
      <c r="C775" s="89"/>
      <c r="D775" s="90"/>
      <c r="E775" s="90"/>
      <c r="F775" s="90"/>
      <c r="G775" s="91"/>
      <c r="H775" s="86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9"/>
      <c r="B776" s="89"/>
      <c r="C776" s="89"/>
      <c r="D776" s="90"/>
      <c r="E776" s="90"/>
      <c r="F776" s="90"/>
      <c r="G776" s="91"/>
      <c r="H776" s="86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9"/>
      <c r="B777" s="89"/>
      <c r="C777" s="89"/>
      <c r="D777" s="90"/>
      <c r="E777" s="90"/>
      <c r="F777" s="90"/>
      <c r="G777" s="91"/>
      <c r="H777" s="86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9"/>
      <c r="B778" s="89"/>
      <c r="C778" s="89"/>
      <c r="D778" s="90"/>
      <c r="E778" s="90"/>
      <c r="F778" s="90"/>
      <c r="G778" s="91"/>
      <c r="H778" s="86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9"/>
      <c r="B779" s="89"/>
      <c r="C779" s="89"/>
      <c r="D779" s="90"/>
      <c r="E779" s="90"/>
      <c r="F779" s="90"/>
      <c r="G779" s="91"/>
      <c r="H779" s="86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9"/>
      <c r="B780" s="89"/>
      <c r="C780" s="89"/>
      <c r="D780" s="90"/>
      <c r="E780" s="90"/>
      <c r="F780" s="90"/>
      <c r="G780" s="91"/>
      <c r="H780" s="86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9"/>
      <c r="B781" s="89"/>
      <c r="C781" s="89"/>
      <c r="D781" s="90"/>
      <c r="E781" s="90"/>
      <c r="F781" s="90"/>
      <c r="G781" s="91"/>
      <c r="H781" s="86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9"/>
      <c r="B782" s="89"/>
      <c r="C782" s="89"/>
      <c r="D782" s="90"/>
      <c r="E782" s="90"/>
      <c r="F782" s="90"/>
      <c r="G782" s="91"/>
      <c r="H782" s="86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9"/>
      <c r="B783" s="89"/>
      <c r="C783" s="89"/>
      <c r="D783" s="90"/>
      <c r="E783" s="90"/>
      <c r="F783" s="90"/>
      <c r="G783" s="91"/>
      <c r="H783" s="86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9"/>
      <c r="B784" s="89"/>
      <c r="C784" s="89"/>
      <c r="D784" s="90"/>
      <c r="E784" s="90"/>
      <c r="F784" s="90"/>
      <c r="G784" s="91"/>
      <c r="H784" s="86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9"/>
      <c r="B785" s="89"/>
      <c r="C785" s="89"/>
      <c r="D785" s="90"/>
      <c r="E785" s="90"/>
      <c r="F785" s="90"/>
      <c r="G785" s="91"/>
      <c r="H785" s="86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9"/>
      <c r="B786" s="89"/>
      <c r="C786" s="89"/>
      <c r="D786" s="90"/>
      <c r="E786" s="90"/>
      <c r="F786" s="90"/>
      <c r="G786" s="91"/>
      <c r="H786" s="86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9"/>
      <c r="B787" s="89"/>
      <c r="C787" s="89"/>
      <c r="D787" s="90"/>
      <c r="E787" s="90"/>
      <c r="F787" s="90"/>
      <c r="G787" s="91"/>
      <c r="H787" s="86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9"/>
      <c r="B788" s="89"/>
      <c r="C788" s="89"/>
      <c r="D788" s="90"/>
      <c r="E788" s="90"/>
      <c r="F788" s="90"/>
      <c r="G788" s="91"/>
      <c r="H788" s="86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9"/>
      <c r="B789" s="89"/>
      <c r="C789" s="89"/>
      <c r="D789" s="90"/>
      <c r="E789" s="90"/>
      <c r="F789" s="90"/>
      <c r="G789" s="91"/>
      <c r="H789" s="86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9"/>
      <c r="B790" s="89"/>
      <c r="C790" s="89"/>
      <c r="D790" s="90"/>
      <c r="E790" s="90"/>
      <c r="F790" s="90"/>
      <c r="G790" s="91"/>
      <c r="H790" s="86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9"/>
      <c r="B791" s="89"/>
      <c r="C791" s="89"/>
      <c r="D791" s="90"/>
      <c r="E791" s="90"/>
      <c r="F791" s="90"/>
      <c r="G791" s="91"/>
      <c r="H791" s="86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9"/>
      <c r="B792" s="89"/>
      <c r="C792" s="89"/>
      <c r="D792" s="90"/>
      <c r="E792" s="90"/>
      <c r="F792" s="90"/>
      <c r="G792" s="91"/>
      <c r="H792" s="86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9"/>
      <c r="B793" s="89"/>
      <c r="C793" s="89"/>
      <c r="D793" s="90"/>
      <c r="E793" s="90"/>
      <c r="F793" s="90"/>
      <c r="G793" s="91"/>
      <c r="H793" s="86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9"/>
      <c r="B794" s="89"/>
      <c r="C794" s="89"/>
      <c r="D794" s="90"/>
      <c r="E794" s="90"/>
      <c r="F794" s="90"/>
      <c r="G794" s="91"/>
      <c r="H794" s="86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9"/>
      <c r="B795" s="89"/>
      <c r="C795" s="89"/>
      <c r="D795" s="90"/>
      <c r="E795" s="90"/>
      <c r="F795" s="90"/>
      <c r="G795" s="91"/>
      <c r="H795" s="86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9"/>
      <c r="B796" s="89"/>
      <c r="C796" s="89"/>
      <c r="D796" s="90"/>
      <c r="E796" s="90"/>
      <c r="F796" s="90"/>
      <c r="G796" s="91"/>
      <c r="H796" s="86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9"/>
      <c r="B797" s="89"/>
      <c r="C797" s="89"/>
      <c r="D797" s="90"/>
      <c r="E797" s="90"/>
      <c r="F797" s="90"/>
      <c r="G797" s="91"/>
      <c r="H797" s="86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9"/>
      <c r="B798" s="89"/>
      <c r="C798" s="89"/>
      <c r="D798" s="90"/>
      <c r="E798" s="90"/>
      <c r="F798" s="90"/>
      <c r="G798" s="91"/>
      <c r="H798" s="86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9"/>
      <c r="B799" s="89"/>
      <c r="C799" s="89"/>
      <c r="D799" s="90"/>
      <c r="E799" s="90"/>
      <c r="F799" s="90"/>
      <c r="G799" s="91"/>
      <c r="H799" s="86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9"/>
      <c r="B800" s="89"/>
      <c r="C800" s="89"/>
      <c r="D800" s="90"/>
      <c r="E800" s="90"/>
      <c r="F800" s="90"/>
      <c r="G800" s="91"/>
      <c r="H800" s="86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9"/>
      <c r="B801" s="89"/>
      <c r="C801" s="89"/>
      <c r="D801" s="90"/>
      <c r="E801" s="90"/>
      <c r="F801" s="90"/>
      <c r="G801" s="91"/>
      <c r="H801" s="86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9"/>
      <c r="B802" s="89"/>
      <c r="C802" s="89"/>
      <c r="D802" s="90"/>
      <c r="E802" s="90"/>
      <c r="F802" s="90"/>
      <c r="G802" s="91"/>
      <c r="H802" s="86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9"/>
      <c r="B803" s="89"/>
      <c r="C803" s="89"/>
      <c r="D803" s="90"/>
      <c r="E803" s="90"/>
      <c r="F803" s="90"/>
      <c r="G803" s="91"/>
      <c r="H803" s="86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9"/>
      <c r="B804" s="89"/>
      <c r="C804" s="89"/>
      <c r="D804" s="90"/>
      <c r="E804" s="90"/>
      <c r="F804" s="90"/>
      <c r="G804" s="91"/>
      <c r="H804" s="86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9"/>
      <c r="B805" s="89"/>
      <c r="C805" s="89"/>
      <c r="D805" s="90"/>
      <c r="E805" s="90"/>
      <c r="F805" s="90"/>
      <c r="G805" s="91"/>
      <c r="H805" s="86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9"/>
      <c r="B806" s="89"/>
      <c r="C806" s="89"/>
      <c r="D806" s="90"/>
      <c r="E806" s="90"/>
      <c r="F806" s="90"/>
      <c r="G806" s="91"/>
      <c r="H806" s="86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9"/>
      <c r="B807" s="89"/>
      <c r="C807" s="89"/>
      <c r="D807" s="90"/>
      <c r="E807" s="90"/>
      <c r="F807" s="90"/>
      <c r="G807" s="91"/>
      <c r="H807" s="86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9"/>
      <c r="B808" s="89"/>
      <c r="C808" s="89"/>
      <c r="D808" s="90"/>
      <c r="E808" s="90"/>
      <c r="F808" s="90"/>
      <c r="G808" s="91"/>
      <c r="H808" s="86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9"/>
      <c r="B809" s="89"/>
      <c r="C809" s="89"/>
      <c r="D809" s="90"/>
      <c r="E809" s="90"/>
      <c r="F809" s="90"/>
      <c r="G809" s="91"/>
      <c r="H809" s="86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9"/>
      <c r="B810" s="89"/>
      <c r="C810" s="89"/>
      <c r="D810" s="90"/>
      <c r="E810" s="90"/>
      <c r="F810" s="90"/>
      <c r="G810" s="91"/>
      <c r="H810" s="86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9"/>
      <c r="B811" s="89"/>
      <c r="C811" s="89"/>
      <c r="D811" s="90"/>
      <c r="E811" s="90"/>
      <c r="F811" s="90"/>
      <c r="G811" s="91"/>
      <c r="H811" s="86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9"/>
      <c r="B812" s="89"/>
      <c r="C812" s="89"/>
      <c r="D812" s="90"/>
      <c r="E812" s="90"/>
      <c r="F812" s="90"/>
      <c r="G812" s="91"/>
      <c r="H812" s="86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9"/>
      <c r="B813" s="89"/>
      <c r="C813" s="89"/>
      <c r="D813" s="90"/>
      <c r="E813" s="90"/>
      <c r="F813" s="90"/>
      <c r="G813" s="91"/>
      <c r="H813" s="86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9"/>
      <c r="B814" s="89"/>
      <c r="C814" s="89"/>
      <c r="D814" s="90"/>
      <c r="E814" s="90"/>
      <c r="F814" s="90"/>
      <c r="G814" s="91"/>
      <c r="H814" s="86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9"/>
      <c r="B815" s="89"/>
      <c r="C815" s="89"/>
      <c r="D815" s="90"/>
      <c r="E815" s="90"/>
      <c r="F815" s="90"/>
      <c r="G815" s="91"/>
      <c r="H815" s="86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9"/>
      <c r="B816" s="89"/>
      <c r="C816" s="89"/>
      <c r="D816" s="90"/>
      <c r="E816" s="90"/>
      <c r="F816" s="90"/>
      <c r="G816" s="91"/>
      <c r="H816" s="86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9"/>
      <c r="B817" s="89"/>
      <c r="C817" s="89"/>
      <c r="D817" s="90"/>
      <c r="E817" s="90"/>
      <c r="F817" s="90"/>
      <c r="G817" s="91"/>
      <c r="H817" s="86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9"/>
      <c r="B818" s="89"/>
      <c r="C818" s="89"/>
      <c r="D818" s="90"/>
      <c r="E818" s="90"/>
      <c r="F818" s="90"/>
      <c r="G818" s="91"/>
      <c r="H818" s="86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9"/>
      <c r="B819" s="89"/>
      <c r="C819" s="89"/>
      <c r="D819" s="90"/>
      <c r="E819" s="90"/>
      <c r="F819" s="90"/>
      <c r="G819" s="91"/>
      <c r="H819" s="86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9"/>
      <c r="B820" s="89"/>
      <c r="C820" s="89"/>
      <c r="D820" s="90"/>
      <c r="E820" s="90"/>
      <c r="F820" s="90"/>
      <c r="G820" s="91"/>
      <c r="H820" s="86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9"/>
      <c r="B821" s="89"/>
      <c r="C821" s="89"/>
      <c r="D821" s="90"/>
      <c r="E821" s="90"/>
      <c r="F821" s="90"/>
      <c r="G821" s="91"/>
      <c r="H821" s="86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9"/>
      <c r="B822" s="89"/>
      <c r="C822" s="89"/>
      <c r="D822" s="90"/>
      <c r="E822" s="90"/>
      <c r="F822" s="90"/>
      <c r="G822" s="91"/>
      <c r="H822" s="86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9"/>
      <c r="B823" s="89"/>
      <c r="C823" s="89"/>
      <c r="D823" s="90"/>
      <c r="E823" s="90"/>
      <c r="F823" s="90"/>
      <c r="G823" s="91"/>
      <c r="H823" s="86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9"/>
      <c r="B824" s="89"/>
      <c r="C824" s="89"/>
      <c r="D824" s="90"/>
      <c r="E824" s="90"/>
      <c r="F824" s="90"/>
      <c r="G824" s="91"/>
      <c r="H824" s="86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9"/>
      <c r="B825" s="89"/>
      <c r="C825" s="89"/>
      <c r="D825" s="90"/>
      <c r="E825" s="90"/>
      <c r="F825" s="90"/>
      <c r="G825" s="91"/>
      <c r="H825" s="86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9"/>
      <c r="B826" s="89"/>
      <c r="C826" s="89"/>
      <c r="D826" s="90"/>
      <c r="E826" s="90"/>
      <c r="F826" s="90"/>
      <c r="G826" s="91"/>
      <c r="H826" s="86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9"/>
      <c r="B827" s="89"/>
      <c r="C827" s="89"/>
      <c r="D827" s="90"/>
      <c r="E827" s="90"/>
      <c r="F827" s="90"/>
      <c r="G827" s="91"/>
      <c r="H827" s="86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9"/>
      <c r="B828" s="89"/>
      <c r="C828" s="89"/>
      <c r="D828" s="90"/>
      <c r="E828" s="90"/>
      <c r="F828" s="90"/>
      <c r="G828" s="91"/>
      <c r="H828" s="86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9"/>
      <c r="B829" s="89"/>
      <c r="C829" s="89"/>
      <c r="D829" s="90"/>
      <c r="E829" s="90"/>
      <c r="F829" s="90"/>
      <c r="G829" s="91"/>
      <c r="H829" s="86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9"/>
      <c r="B830" s="89"/>
      <c r="C830" s="89"/>
      <c r="D830" s="90"/>
      <c r="E830" s="90"/>
      <c r="F830" s="90"/>
      <c r="G830" s="91"/>
      <c r="H830" s="86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9"/>
      <c r="B831" s="89"/>
      <c r="C831" s="89"/>
      <c r="D831" s="90"/>
      <c r="E831" s="90"/>
      <c r="F831" s="90"/>
      <c r="G831" s="91"/>
      <c r="H831" s="86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9"/>
      <c r="B832" s="89"/>
      <c r="C832" s="89"/>
      <c r="D832" s="90"/>
      <c r="E832" s="90"/>
      <c r="F832" s="90"/>
      <c r="G832" s="91"/>
      <c r="H832" s="86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9"/>
      <c r="B833" s="89"/>
      <c r="C833" s="89"/>
      <c r="D833" s="90"/>
      <c r="E833" s="90"/>
      <c r="F833" s="90"/>
      <c r="G833" s="91"/>
      <c r="H833" s="86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9"/>
      <c r="B834" s="89"/>
      <c r="C834" s="89"/>
      <c r="D834" s="90"/>
      <c r="E834" s="90"/>
      <c r="F834" s="90"/>
      <c r="G834" s="91"/>
      <c r="H834" s="86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9"/>
      <c r="B835" s="89"/>
      <c r="C835" s="89"/>
      <c r="D835" s="90"/>
      <c r="E835" s="90"/>
      <c r="F835" s="90"/>
      <c r="G835" s="91"/>
      <c r="H835" s="86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9"/>
      <c r="B836" s="89"/>
      <c r="C836" s="89"/>
      <c r="D836" s="90"/>
      <c r="E836" s="90"/>
      <c r="F836" s="90"/>
      <c r="G836" s="91"/>
      <c r="H836" s="86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9"/>
      <c r="B837" s="89"/>
      <c r="C837" s="89"/>
      <c r="D837" s="90"/>
      <c r="E837" s="90"/>
      <c r="F837" s="90"/>
      <c r="G837" s="91"/>
      <c r="H837" s="86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9"/>
      <c r="B838" s="89"/>
      <c r="C838" s="89"/>
      <c r="D838" s="90"/>
      <c r="E838" s="90"/>
      <c r="F838" s="90"/>
      <c r="G838" s="91"/>
      <c r="H838" s="86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9"/>
      <c r="B839" s="89"/>
      <c r="C839" s="89"/>
      <c r="D839" s="90"/>
      <c r="E839" s="90"/>
      <c r="F839" s="90"/>
      <c r="G839" s="91"/>
      <c r="H839" s="86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9"/>
      <c r="B840" s="89"/>
      <c r="C840" s="89"/>
      <c r="D840" s="90"/>
      <c r="E840" s="90"/>
      <c r="F840" s="90"/>
      <c r="G840" s="91"/>
      <c r="H840" s="86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9"/>
      <c r="B841" s="89"/>
      <c r="C841" s="89"/>
      <c r="D841" s="90"/>
      <c r="E841" s="90"/>
      <c r="F841" s="90"/>
      <c r="G841" s="91"/>
      <c r="H841" s="86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</sheetData>
  <conditionalFormatting sqref="F3">
    <cfRule type="cellIs" dxfId="5" priority="1" operator="greaterThanOrEqual">
      <formula>0.8</formula>
    </cfRule>
  </conditionalFormatting>
  <conditionalFormatting sqref="F3">
    <cfRule type="cellIs" dxfId="6" priority="2" operator="lessThan">
      <formula>0.8</formula>
    </cfRule>
  </conditionalFormatting>
  <dataValidations>
    <dataValidation type="custom" allowBlank="1" showDropDown="1" sqref="C8:G18">
      <formula1>AND(ISNUMBER(C8),(NOT(OR(NOT(ISERROR(DATEVALUE(C8))), AND(ISNUMBER(C8), LEFT(CELL("format", C8))="D")))))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0.38"/>
    <col customWidth="1" min="2" max="2" width="17.63"/>
    <col customWidth="1" min="3" max="3" width="10.63"/>
    <col customWidth="1" min="4" max="4" width="18.13"/>
    <col customWidth="1" min="6" max="6" width="18.13"/>
  </cols>
  <sheetData>
    <row r="1">
      <c r="B1" s="94" t="s">
        <v>59</v>
      </c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</row>
    <row r="2">
      <c r="B2" s="48"/>
      <c r="C2" s="44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</row>
    <row r="3">
      <c r="B3" s="95" t="s">
        <v>65</v>
      </c>
      <c r="C3" s="96" t="s">
        <v>66</v>
      </c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</row>
    <row r="4">
      <c r="B4" s="97" t="s">
        <v>67</v>
      </c>
      <c r="C4" s="98">
        <f>IF($B$1="Geral", 
  COUNTIFS('REGISTRO UNIFICADO'!Y4:Y1000, "Baixo", 'REGISTRO UNIFICADO'!A4:A1000, "&lt;&gt;Duplicado"), 
  COUNTIFS('REGISTRO UNIFICADO'!B4:B1000, $B$1, 'REGISTRO UNIFICADO'!Y4:Y1000, "Baixo", 'REGISTRO UNIFICADO'!A4:A1000, "&lt;&gt;Duplicado")
)</f>
        <v>0</v>
      </c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</row>
    <row r="5">
      <c r="B5" s="97" t="s">
        <v>68</v>
      </c>
      <c r="C5" s="98">
        <f>IF($B$1="Geral", 
  COUNTIFS('REGISTRO UNIFICADO'!Y4:Y1000, "Médio", 'REGISTRO UNIFICADO'!A4:A1000, "&lt;&gt;Duplicado"), 
  COUNTIFS('REGISTRO UNIFICADO'!B4:B1000, $B$1, 'REGISTRO UNIFICADO'!Y4:Y1000, "Médio", 'REGISTRO UNIFICADO'!A4:A1000, "&lt;&gt;Duplicado")
)</f>
        <v>0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</row>
    <row r="6">
      <c r="B6" s="97" t="s">
        <v>69</v>
      </c>
      <c r="C6" s="98">
        <f>IF($B$1="Geral", 
  COUNTIFS('REGISTRO UNIFICADO'!Y4:Y1000, "Alto", 'REGISTRO UNIFICADO'!A4:A1000, "&lt;&gt;Duplicado"), 
  COUNTIFS('REGISTRO UNIFICADO'!B4:B1000, $B$1, 'REGISTRO UNIFICADO'!Y4:Y1000, "Alto", 'REGISTRO UNIFICADO'!A4:A1000, "&lt;&gt;Duplicado")
)</f>
        <v>0</v>
      </c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</row>
    <row r="7">
      <c r="B7" s="99" t="s">
        <v>70</v>
      </c>
      <c r="C7" s="100">
        <f>IF($B$1="Geral", 
  COUNTIFS('REGISTRO UNIFICADO'!Y4:Y1000, "", 'REGISTRO UNIFICADO'!A4:A1000, "&lt;&gt;Duplicado", 'REGISTRO UNIFICADO'!A4:A1000, "&lt;&gt;"), 
  COUNTIFS('REGISTRO UNIFICADO'!B4:B1000, $B$1, 'REGISTRO UNIFICADO'!Y4:Y1000, "", 'REGISTRO UNIFICADO'!A4:A1000, "&lt;&gt;Duplicado")
)</f>
        <v>0</v>
      </c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</row>
    <row r="8">
      <c r="B8" s="48"/>
      <c r="C8" s="44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</row>
    <row r="9" ht="30.0" customHeight="1">
      <c r="B9" s="101" t="s">
        <v>71</v>
      </c>
      <c r="C9" s="44"/>
      <c r="D9" s="50" t="s">
        <v>43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</row>
    <row r="10" ht="40.5" customHeight="1">
      <c r="B10" s="102">
        <f>SUM(B13-C24)</f>
        <v>0</v>
      </c>
      <c r="C10" s="44"/>
      <c r="D10" s="57">
        <f>COUNTIFS('REGISTRO UNIFICADO'!A4:A1000, "&lt;&gt;", 'REGISTRO UNIFICADO'!A4:A1000, "&lt;&gt;Duplicado")</f>
        <v>0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</row>
    <row r="11">
      <c r="B11" s="48"/>
      <c r="C11" s="44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</row>
    <row r="12">
      <c r="B12" s="50" t="s">
        <v>72</v>
      </c>
      <c r="C12" s="44"/>
      <c r="D12" s="55" t="s">
        <v>73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</row>
    <row r="13" ht="49.5" customHeight="1">
      <c r="B13" s="57">
        <f>IF($B$1="Geral", 
  COUNTIFS('REGISTRO UNIFICADO'!A4:A1000, "&lt;&gt;", 'REGISTRO UNIFICADO'!A4:A1000, "&lt;&gt;Duplicado"), 
  COUNTIFS('REGISTRO UNIFICADO'!B4:B1000, $B$1, 'REGISTRO UNIFICADO'!A4:A1000, "&lt;&gt;Duplicado", 'REGISTRO UNIFICADO'!A4:A1000, "&lt;&gt;")
)</f>
        <v>0</v>
      </c>
      <c r="C13" s="44"/>
      <c r="D13" s="103">
        <f>SUM(C27:C29)</f>
        <v>0</v>
      </c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</row>
    <row r="14">
      <c r="B14" s="104"/>
      <c r="C14" s="105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</row>
    <row r="15">
      <c r="B15" s="104"/>
      <c r="C15" s="105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</row>
    <row r="16" ht="51.75" customHeight="1">
      <c r="A16" s="106"/>
      <c r="B16" s="89"/>
      <c r="C16" s="89"/>
      <c r="D16" s="87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</row>
    <row r="17" ht="4.5" customHeight="1">
      <c r="A17" s="107"/>
      <c r="B17" s="87"/>
      <c r="C17" s="89"/>
      <c r="D17" s="87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</row>
    <row r="18">
      <c r="B18" s="87" t="s">
        <v>74</v>
      </c>
      <c r="C18" s="89" t="s">
        <v>75</v>
      </c>
      <c r="D18" s="87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</row>
    <row r="19">
      <c r="A19" s="108"/>
      <c r="B19" s="87" t="s">
        <v>76</v>
      </c>
      <c r="C19" s="89">
        <f>IF($B$1="Geral", 
  COUNTIFS('REGISTRO UNIFICADO'!H:H, "Sim", 'REGISTRO UNIFICADO'!A:A, "&lt;&gt;Duplicado"), 
  COUNTIFS('REGISTRO UNIFICADO'!B:B, $B$1, 'REGISTRO UNIFICADO'!H:H, "Sim", 'REGISTRO UNIFICADO'!A:A, "&lt;&gt;Duplicado")
)</f>
        <v>0</v>
      </c>
      <c r="D19" s="87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</row>
    <row r="20">
      <c r="B20" s="87" t="s">
        <v>77</v>
      </c>
      <c r="C20" s="89">
        <f>IF($B$1="Geral", 
  COUNTIFS('REGISTRO UNIFICADO'!J:J, "Sim", 'REGISTRO UNIFICADO'!A:A, "&lt;&gt;Duplicado"), 
  COUNTIFS('REGISTRO UNIFICADO'!B:B, $B$1, 'REGISTRO UNIFICADO'!J:J, "Sim", 'REGISTRO UNIFICADO'!A:A, "&lt;&gt;Duplicado")
)</f>
        <v>0</v>
      </c>
      <c r="D20" s="87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</row>
    <row r="21">
      <c r="B21" s="87"/>
      <c r="C21" s="89"/>
      <c r="D21" s="87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</row>
    <row r="22">
      <c r="B22" s="87" t="s">
        <v>78</v>
      </c>
      <c r="C22" s="109" t="s">
        <v>66</v>
      </c>
      <c r="D22" s="87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</row>
    <row r="23">
      <c r="B23" s="87" t="s">
        <v>43</v>
      </c>
      <c r="C23" s="110">
        <f>B13</f>
        <v>0</v>
      </c>
      <c r="D23" s="87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</row>
    <row r="24">
      <c r="B24" s="93" t="s">
        <v>79</v>
      </c>
      <c r="C24" s="87">
        <f>IF($B$1="Geral", 
  COUNTIFS('REGISTRO UNIFICADO'!X4:X1000, "&lt;&gt;", 'REGISTRO UNIFICADO'!A4:A1000, "&lt;&gt;Duplicado", 'REGISTRO UNIFICADO'!A4:A1000, "&lt;&gt;"), 
  COUNTIFS('REGISTRO UNIFICADO'!B4:B1000, $B$1, 'REGISTRO UNIFICADO'!X4:X1000, "&lt;&gt;", 'REGISTRO UNIFICADO'!A4:A1000, "&lt;&gt;Duplicado")
)</f>
        <v>0</v>
      </c>
      <c r="D24" s="87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</row>
    <row r="25">
      <c r="B25" s="87"/>
      <c r="C25" s="89"/>
      <c r="D25" s="87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</row>
    <row r="26">
      <c r="B26" s="87" t="s">
        <v>80</v>
      </c>
      <c r="C26" s="89" t="s">
        <v>75</v>
      </c>
      <c r="D26" s="87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</row>
    <row r="27">
      <c r="B27" s="87" t="s">
        <v>81</v>
      </c>
      <c r="C27" s="89">
        <f>IF($B$1="Geral", 
  COUNTIFS('REGISTRO UNIFICADO'!T4:T1000, "*Crianças*", 'REGISTRO UNIFICADO'!A4:A1000, "&lt;&gt;Duplicado"), 
  COUNTIFS('REGISTRO UNIFICADO'!B4:B1000, $B$1, 'REGISTRO UNIFICADO'!T4:T1000, "*Crianças*", 'REGISTRO UNIFICADO'!A4:A1000, "&lt;&gt;Duplicado")
)</f>
        <v>0</v>
      </c>
      <c r="D27" s="87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</row>
    <row r="28">
      <c r="B28" s="87" t="s">
        <v>82</v>
      </c>
      <c r="C28" s="89">
        <f>IF($B$1="Geral", 
  COUNTIFS('REGISTRO UNIFICADO'!T4:T1000, "*Adolescentes*", 'REGISTRO UNIFICADO'!A4:A1000, "&lt;&gt;Duplicado"), 
  COUNTIFS('REGISTRO UNIFICADO'!B4:B1000, $B$1, 'REGISTRO UNIFICADO'!T4:T1000, "*Adolescentes*", 'REGISTRO UNIFICADO'!A4:A1000, "&lt;&gt;Duplicado")
)</f>
        <v>0</v>
      </c>
      <c r="D28" s="87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</row>
    <row r="29">
      <c r="B29" s="87" t="s">
        <v>83</v>
      </c>
      <c r="C29" s="89">
        <f>IF($B$1="Geral", 
  COUNTIFS('REGISTRO UNIFICADO'!T4:T1000, "*Idosos*", 'REGISTRO UNIFICADO'!A4:A1000, "&lt;&gt;Duplicado"), 
  COUNTIFS('REGISTRO UNIFICADO'!B4:B1000, $B$1, 'REGISTRO UNIFICADO'!T4:T1000, "*Idosos*", 'REGISTRO UNIFICADO'!A4:A1000, "&lt;&gt;Duplicado")
)</f>
        <v>0</v>
      </c>
      <c r="D29" s="87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</row>
    <row r="30">
      <c r="B30" s="87"/>
      <c r="C30" s="89"/>
      <c r="D30" s="87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</row>
    <row r="31">
      <c r="B31" s="87"/>
      <c r="C31" s="89"/>
      <c r="D31" s="87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</row>
    <row r="32">
      <c r="B32" s="104"/>
      <c r="C32" s="105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</row>
    <row r="33">
      <c r="B33" s="104"/>
      <c r="C33" s="105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</row>
    <row r="34">
      <c r="B34" s="104"/>
      <c r="C34" s="105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</row>
    <row r="35">
      <c r="B35" s="104"/>
      <c r="C35" s="105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</row>
    <row r="36">
      <c r="B36" s="104"/>
      <c r="C36" s="105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</row>
    <row r="37">
      <c r="B37" s="104"/>
      <c r="C37" s="105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</row>
    <row r="38">
      <c r="B38" s="104"/>
      <c r="C38" s="105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</row>
    <row r="39">
      <c r="B39" s="104"/>
      <c r="C39" s="105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</row>
    <row r="40">
      <c r="B40" s="104"/>
      <c r="C40" s="105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</row>
    <row r="41">
      <c r="B41" s="104"/>
      <c r="C41" s="105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</row>
    <row r="42">
      <c r="B42" s="104"/>
      <c r="C42" s="105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</row>
    <row r="43">
      <c r="B43" s="104"/>
      <c r="C43" s="105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</row>
    <row r="44">
      <c r="B44" s="104"/>
      <c r="C44" s="105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</row>
    <row r="45">
      <c r="B45" s="104"/>
      <c r="C45" s="105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</row>
    <row r="46">
      <c r="B46" s="104"/>
      <c r="C46" s="105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</row>
    <row r="47">
      <c r="B47" s="104"/>
      <c r="C47" s="105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  <c r="AA47" s="104"/>
    </row>
    <row r="48">
      <c r="B48" s="104"/>
      <c r="C48" s="105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</row>
    <row r="49">
      <c r="B49" s="104"/>
      <c r="C49" s="105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</row>
    <row r="50">
      <c r="B50" s="104"/>
      <c r="C50" s="105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104"/>
    </row>
    <row r="51">
      <c r="B51" s="104"/>
      <c r="C51" s="105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</row>
    <row r="52">
      <c r="B52" s="104"/>
      <c r="C52" s="105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</row>
    <row r="53">
      <c r="B53" s="104"/>
      <c r="C53" s="105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</row>
    <row r="54">
      <c r="B54" s="104"/>
      <c r="C54" s="105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</row>
    <row r="55">
      <c r="B55" s="104"/>
      <c r="C55" s="105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</row>
    <row r="56">
      <c r="B56" s="104"/>
      <c r="C56" s="105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</row>
    <row r="57">
      <c r="B57" s="104"/>
      <c r="C57" s="105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</row>
    <row r="58">
      <c r="B58" s="104"/>
      <c r="C58" s="105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</row>
    <row r="59">
      <c r="B59" s="104"/>
      <c r="C59" s="105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</row>
    <row r="60">
      <c r="B60" s="104"/>
      <c r="C60" s="105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</row>
    <row r="61">
      <c r="B61" s="104"/>
      <c r="C61" s="105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</row>
    <row r="62">
      <c r="B62" s="104"/>
      <c r="C62" s="105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</row>
    <row r="63">
      <c r="B63" s="104"/>
      <c r="C63" s="105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</row>
    <row r="64">
      <c r="B64" s="104"/>
      <c r="C64" s="105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</row>
    <row r="65">
      <c r="B65" s="104"/>
      <c r="C65" s="105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</row>
    <row r="66">
      <c r="B66" s="104"/>
      <c r="C66" s="105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</row>
    <row r="67">
      <c r="B67" s="104"/>
      <c r="C67" s="105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</row>
    <row r="68">
      <c r="B68" s="104"/>
      <c r="C68" s="105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</row>
    <row r="69">
      <c r="B69" s="104"/>
      <c r="C69" s="105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</row>
    <row r="70">
      <c r="B70" s="104"/>
      <c r="C70" s="105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</row>
    <row r="71">
      <c r="B71" s="104"/>
      <c r="C71" s="105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</row>
    <row r="72">
      <c r="B72" s="104"/>
      <c r="C72" s="105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</row>
    <row r="73">
      <c r="B73" s="104"/>
      <c r="C73" s="105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</row>
    <row r="74">
      <c r="B74" s="104"/>
      <c r="C74" s="105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</row>
    <row r="75">
      <c r="B75" s="104"/>
      <c r="C75" s="105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</row>
    <row r="76">
      <c r="B76" s="104"/>
      <c r="C76" s="105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</row>
    <row r="77">
      <c r="B77" s="104"/>
      <c r="C77" s="105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</row>
    <row r="78">
      <c r="B78" s="104"/>
      <c r="C78" s="105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</row>
    <row r="79">
      <c r="B79" s="104"/>
      <c r="C79" s="105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</row>
    <row r="80">
      <c r="B80" s="104"/>
      <c r="C80" s="105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</row>
    <row r="81">
      <c r="B81" s="104"/>
      <c r="C81" s="105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</row>
    <row r="82">
      <c r="B82" s="104"/>
      <c r="C82" s="105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</row>
    <row r="83">
      <c r="B83" s="104"/>
      <c r="C83" s="105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</row>
    <row r="84">
      <c r="B84" s="104"/>
      <c r="C84" s="105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</row>
    <row r="85">
      <c r="B85" s="104"/>
      <c r="C85" s="105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</row>
    <row r="86">
      <c r="B86" s="104"/>
      <c r="C86" s="105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</row>
    <row r="87">
      <c r="B87" s="104"/>
      <c r="C87" s="105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</row>
    <row r="88">
      <c r="B88" s="104"/>
      <c r="C88" s="105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</row>
    <row r="89">
      <c r="B89" s="104"/>
      <c r="C89" s="105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</row>
    <row r="90">
      <c r="B90" s="104"/>
      <c r="C90" s="105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</row>
    <row r="91">
      <c r="B91" s="104"/>
      <c r="C91" s="105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</row>
    <row r="92">
      <c r="B92" s="104"/>
      <c r="C92" s="105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</row>
    <row r="93">
      <c r="B93" s="104"/>
      <c r="C93" s="105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</row>
    <row r="94">
      <c r="B94" s="104"/>
      <c r="C94" s="105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</row>
    <row r="95">
      <c r="B95" s="104"/>
      <c r="C95" s="105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</row>
    <row r="96">
      <c r="B96" s="104"/>
      <c r="C96" s="105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</row>
    <row r="97">
      <c r="B97" s="104"/>
      <c r="C97" s="105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</row>
    <row r="98">
      <c r="B98" s="104"/>
      <c r="C98" s="105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</row>
    <row r="99">
      <c r="B99" s="104"/>
      <c r="C99" s="105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</row>
    <row r="100">
      <c r="B100" s="104"/>
      <c r="C100" s="105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</row>
    <row r="101">
      <c r="B101" s="104"/>
      <c r="C101" s="105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</row>
    <row r="102">
      <c r="B102" s="104"/>
      <c r="C102" s="105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</row>
    <row r="103">
      <c r="B103" s="104"/>
      <c r="C103" s="105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</row>
    <row r="104">
      <c r="B104" s="104"/>
      <c r="C104" s="105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</row>
    <row r="105">
      <c r="B105" s="104"/>
      <c r="C105" s="105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</row>
    <row r="106">
      <c r="B106" s="104"/>
      <c r="C106" s="105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</row>
    <row r="107">
      <c r="B107" s="104"/>
      <c r="C107" s="105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</row>
    <row r="108">
      <c r="B108" s="104"/>
      <c r="C108" s="105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</row>
    <row r="109">
      <c r="B109" s="104"/>
      <c r="C109" s="105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</row>
    <row r="110">
      <c r="B110" s="104"/>
      <c r="C110" s="105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</row>
    <row r="111">
      <c r="B111" s="104"/>
      <c r="C111" s="105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</row>
    <row r="112">
      <c r="B112" s="104"/>
      <c r="C112" s="105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</row>
    <row r="113">
      <c r="B113" s="104"/>
      <c r="C113" s="105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</row>
    <row r="114">
      <c r="B114" s="104"/>
      <c r="C114" s="105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</row>
    <row r="115">
      <c r="B115" s="104"/>
      <c r="C115" s="105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</row>
    <row r="116">
      <c r="B116" s="104"/>
      <c r="C116" s="105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</row>
    <row r="117">
      <c r="B117" s="104"/>
      <c r="C117" s="105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</row>
    <row r="118">
      <c r="B118" s="104"/>
      <c r="C118" s="105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</row>
    <row r="119">
      <c r="B119" s="104"/>
      <c r="C119" s="105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</row>
    <row r="120">
      <c r="B120" s="104"/>
      <c r="C120" s="105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</row>
    <row r="121">
      <c r="B121" s="104"/>
      <c r="C121" s="105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</row>
    <row r="122">
      <c r="B122" s="104"/>
      <c r="C122" s="105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</row>
    <row r="123">
      <c r="B123" s="104"/>
      <c r="C123" s="105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</row>
    <row r="124">
      <c r="B124" s="104"/>
      <c r="C124" s="105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</row>
    <row r="125">
      <c r="B125" s="104"/>
      <c r="C125" s="105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</row>
    <row r="126">
      <c r="B126" s="104"/>
      <c r="C126" s="105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</row>
    <row r="127">
      <c r="B127" s="104"/>
      <c r="C127" s="105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</row>
    <row r="128">
      <c r="B128" s="104"/>
      <c r="C128" s="105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</row>
    <row r="129">
      <c r="B129" s="104"/>
      <c r="C129" s="105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</row>
    <row r="130">
      <c r="B130" s="104"/>
      <c r="C130" s="105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</row>
    <row r="131">
      <c r="B131" s="104"/>
      <c r="C131" s="105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</row>
    <row r="132">
      <c r="B132" s="104"/>
      <c r="C132" s="105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</row>
    <row r="133">
      <c r="B133" s="104"/>
      <c r="C133" s="105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</row>
    <row r="134">
      <c r="B134" s="104"/>
      <c r="C134" s="105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</row>
    <row r="135">
      <c r="B135" s="104"/>
      <c r="C135" s="105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</row>
    <row r="136">
      <c r="B136" s="104"/>
      <c r="C136" s="105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</row>
    <row r="137">
      <c r="B137" s="104"/>
      <c r="C137" s="105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</row>
    <row r="138">
      <c r="B138" s="104"/>
      <c r="C138" s="105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</row>
    <row r="139">
      <c r="B139" s="104"/>
      <c r="C139" s="105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</row>
    <row r="140">
      <c r="B140" s="104"/>
      <c r="C140" s="105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</row>
    <row r="141">
      <c r="B141" s="104"/>
      <c r="C141" s="105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</row>
    <row r="142">
      <c r="B142" s="104"/>
      <c r="C142" s="105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</row>
    <row r="143">
      <c r="B143" s="104"/>
      <c r="C143" s="105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</row>
    <row r="144">
      <c r="B144" s="104"/>
      <c r="C144" s="105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</row>
    <row r="145">
      <c r="B145" s="104"/>
      <c r="C145" s="105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</row>
    <row r="146">
      <c r="B146" s="104"/>
      <c r="C146" s="105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</row>
    <row r="147">
      <c r="B147" s="104"/>
      <c r="C147" s="105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</row>
    <row r="148">
      <c r="B148" s="104"/>
      <c r="C148" s="105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</row>
    <row r="149">
      <c r="B149" s="104"/>
      <c r="C149" s="105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</row>
    <row r="150">
      <c r="B150" s="104"/>
      <c r="C150" s="105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</row>
    <row r="151">
      <c r="B151" s="104"/>
      <c r="C151" s="105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</row>
    <row r="152">
      <c r="B152" s="104"/>
      <c r="C152" s="105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</row>
    <row r="153">
      <c r="B153" s="104"/>
      <c r="C153" s="105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</row>
    <row r="154">
      <c r="B154" s="104"/>
      <c r="C154" s="105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</row>
    <row r="155">
      <c r="B155" s="104"/>
      <c r="C155" s="105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</row>
    <row r="156">
      <c r="B156" s="104"/>
      <c r="C156" s="105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</row>
    <row r="157">
      <c r="B157" s="104"/>
      <c r="C157" s="105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</row>
    <row r="158">
      <c r="B158" s="104"/>
      <c r="C158" s="105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</row>
    <row r="159">
      <c r="B159" s="104"/>
      <c r="C159" s="105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</row>
    <row r="160">
      <c r="B160" s="104"/>
      <c r="C160" s="105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</row>
    <row r="161">
      <c r="B161" s="104"/>
      <c r="C161" s="105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</row>
    <row r="162">
      <c r="B162" s="104"/>
      <c r="C162" s="105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</row>
    <row r="163">
      <c r="B163" s="104"/>
      <c r="C163" s="105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</row>
    <row r="164">
      <c r="B164" s="104"/>
      <c r="C164" s="105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</row>
    <row r="165">
      <c r="B165" s="104"/>
      <c r="C165" s="105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</row>
    <row r="166">
      <c r="B166" s="104"/>
      <c r="C166" s="105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</row>
    <row r="167">
      <c r="B167" s="104"/>
      <c r="C167" s="105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</row>
    <row r="168">
      <c r="B168" s="104"/>
      <c r="C168" s="105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</row>
    <row r="169">
      <c r="B169" s="104"/>
      <c r="C169" s="105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</row>
    <row r="170">
      <c r="B170" s="104"/>
      <c r="C170" s="105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</row>
    <row r="171">
      <c r="B171" s="104"/>
      <c r="C171" s="105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</row>
    <row r="172">
      <c r="B172" s="104"/>
      <c r="C172" s="105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</row>
    <row r="173">
      <c r="B173" s="104"/>
      <c r="C173" s="105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</row>
    <row r="174">
      <c r="B174" s="104"/>
      <c r="C174" s="105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</row>
    <row r="175">
      <c r="B175" s="104"/>
      <c r="C175" s="105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</row>
    <row r="176">
      <c r="B176" s="104"/>
      <c r="C176" s="105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</row>
    <row r="177">
      <c r="B177" s="104"/>
      <c r="C177" s="105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</row>
    <row r="178">
      <c r="B178" s="104"/>
      <c r="C178" s="105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</row>
    <row r="179">
      <c r="B179" s="104"/>
      <c r="C179" s="105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</row>
    <row r="180">
      <c r="B180" s="104"/>
      <c r="C180" s="105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</row>
    <row r="181">
      <c r="B181" s="104"/>
      <c r="C181" s="105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</row>
    <row r="182">
      <c r="B182" s="104"/>
      <c r="C182" s="105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</row>
    <row r="183">
      <c r="B183" s="104"/>
      <c r="C183" s="105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</row>
    <row r="184">
      <c r="B184" s="104"/>
      <c r="C184" s="105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</row>
    <row r="185">
      <c r="B185" s="104"/>
      <c r="C185" s="105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</row>
    <row r="186">
      <c r="B186" s="104"/>
      <c r="C186" s="105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</row>
    <row r="187">
      <c r="B187" s="104"/>
      <c r="C187" s="105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</row>
    <row r="188">
      <c r="B188" s="104"/>
      <c r="C188" s="105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</row>
    <row r="189">
      <c r="B189" s="104"/>
      <c r="C189" s="105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</row>
    <row r="190">
      <c r="B190" s="104"/>
      <c r="C190" s="105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</row>
    <row r="191">
      <c r="B191" s="104"/>
      <c r="C191" s="105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</row>
    <row r="192">
      <c r="B192" s="104"/>
      <c r="C192" s="105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</row>
    <row r="193">
      <c r="B193" s="104"/>
      <c r="C193" s="105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</row>
    <row r="194">
      <c r="B194" s="104"/>
      <c r="C194" s="105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</row>
    <row r="195">
      <c r="B195" s="104"/>
      <c r="C195" s="105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</row>
    <row r="196">
      <c r="B196" s="104"/>
      <c r="C196" s="105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</row>
    <row r="197">
      <c r="B197" s="104"/>
      <c r="C197" s="105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</row>
    <row r="198">
      <c r="B198" s="104"/>
      <c r="C198" s="105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</row>
    <row r="199">
      <c r="B199" s="104"/>
      <c r="C199" s="105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</row>
    <row r="200">
      <c r="B200" s="104"/>
      <c r="C200" s="105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</row>
    <row r="201">
      <c r="B201" s="104"/>
      <c r="C201" s="105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</row>
    <row r="202">
      <c r="B202" s="104"/>
      <c r="C202" s="105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</row>
    <row r="203">
      <c r="B203" s="104"/>
      <c r="C203" s="105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104"/>
    </row>
    <row r="204">
      <c r="B204" s="104"/>
      <c r="C204" s="105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104"/>
    </row>
    <row r="205">
      <c r="B205" s="104"/>
      <c r="C205" s="105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</row>
    <row r="206">
      <c r="B206" s="104"/>
      <c r="C206" s="105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</row>
    <row r="207">
      <c r="B207" s="104"/>
      <c r="C207" s="105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  <c r="AA207" s="104"/>
    </row>
    <row r="208">
      <c r="B208" s="104"/>
      <c r="C208" s="105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  <c r="AA208" s="104"/>
    </row>
    <row r="209">
      <c r="B209" s="104"/>
      <c r="C209" s="105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  <c r="AA209" s="104"/>
    </row>
    <row r="210">
      <c r="B210" s="104"/>
      <c r="C210" s="105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</row>
    <row r="211">
      <c r="B211" s="104"/>
      <c r="C211" s="105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</row>
    <row r="212">
      <c r="B212" s="104"/>
      <c r="C212" s="105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</row>
    <row r="213">
      <c r="B213" s="104"/>
      <c r="C213" s="105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</row>
    <row r="214">
      <c r="B214" s="104"/>
      <c r="C214" s="105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</row>
    <row r="215">
      <c r="B215" s="104"/>
      <c r="C215" s="105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</row>
    <row r="216">
      <c r="B216" s="104"/>
      <c r="C216" s="105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</row>
    <row r="217">
      <c r="B217" s="104"/>
      <c r="C217" s="105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</row>
    <row r="218">
      <c r="B218" s="104"/>
      <c r="C218" s="105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</row>
    <row r="219">
      <c r="B219" s="104"/>
      <c r="C219" s="105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</row>
    <row r="220">
      <c r="B220" s="104"/>
      <c r="C220" s="105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</row>
    <row r="221">
      <c r="B221" s="104"/>
      <c r="C221" s="105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</row>
    <row r="222">
      <c r="B222" s="104"/>
      <c r="C222" s="105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</row>
    <row r="223">
      <c r="B223" s="104"/>
      <c r="C223" s="105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</row>
    <row r="224">
      <c r="B224" s="104"/>
      <c r="C224" s="105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</row>
    <row r="225">
      <c r="B225" s="104"/>
      <c r="C225" s="105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</row>
    <row r="226">
      <c r="B226" s="104"/>
      <c r="C226" s="105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</row>
    <row r="227">
      <c r="B227" s="104"/>
      <c r="C227" s="105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</row>
    <row r="228">
      <c r="B228" s="104"/>
      <c r="C228" s="105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</row>
    <row r="229">
      <c r="B229" s="104"/>
      <c r="C229" s="105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</row>
    <row r="230">
      <c r="B230" s="104"/>
      <c r="C230" s="105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</row>
    <row r="231">
      <c r="B231" s="104"/>
      <c r="C231" s="105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</row>
    <row r="232">
      <c r="B232" s="104"/>
      <c r="C232" s="105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</row>
    <row r="233">
      <c r="B233" s="104"/>
      <c r="C233" s="105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</row>
    <row r="234">
      <c r="B234" s="104"/>
      <c r="C234" s="105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</row>
    <row r="235">
      <c r="B235" s="104"/>
      <c r="C235" s="105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</row>
    <row r="236">
      <c r="B236" s="104"/>
      <c r="C236" s="105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</row>
    <row r="237">
      <c r="B237" s="104"/>
      <c r="C237" s="105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</row>
    <row r="238">
      <c r="B238" s="104"/>
      <c r="C238" s="105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</row>
    <row r="239">
      <c r="B239" s="104"/>
      <c r="C239" s="105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</row>
    <row r="240">
      <c r="B240" s="104"/>
      <c r="C240" s="105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</row>
    <row r="241">
      <c r="B241" s="104"/>
      <c r="C241" s="105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</row>
    <row r="242">
      <c r="B242" s="104"/>
      <c r="C242" s="105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</row>
    <row r="243">
      <c r="B243" s="104"/>
      <c r="C243" s="105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</row>
    <row r="244">
      <c r="B244" s="104"/>
      <c r="C244" s="105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</row>
    <row r="245">
      <c r="B245" s="104"/>
      <c r="C245" s="105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</row>
    <row r="246">
      <c r="B246" s="104"/>
      <c r="C246" s="105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</row>
    <row r="247">
      <c r="B247" s="104"/>
      <c r="C247" s="105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</row>
    <row r="248">
      <c r="B248" s="104"/>
      <c r="C248" s="105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</row>
    <row r="249">
      <c r="B249" s="104"/>
      <c r="C249" s="105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</row>
    <row r="250">
      <c r="B250" s="104"/>
      <c r="C250" s="105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</row>
    <row r="251">
      <c r="B251" s="104"/>
      <c r="C251" s="105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</row>
    <row r="252">
      <c r="B252" s="104"/>
      <c r="C252" s="105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</row>
    <row r="253">
      <c r="B253" s="104"/>
      <c r="C253" s="105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</row>
    <row r="254">
      <c r="B254" s="104"/>
      <c r="C254" s="105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</row>
    <row r="255">
      <c r="B255" s="104"/>
      <c r="C255" s="105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</row>
    <row r="256">
      <c r="B256" s="104"/>
      <c r="C256" s="105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</row>
    <row r="257">
      <c r="B257" s="104"/>
      <c r="C257" s="105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</row>
    <row r="258">
      <c r="B258" s="104"/>
      <c r="C258" s="105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</row>
    <row r="259">
      <c r="B259" s="104"/>
      <c r="C259" s="105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</row>
    <row r="260">
      <c r="B260" s="104"/>
      <c r="C260" s="105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</row>
    <row r="261">
      <c r="B261" s="104"/>
      <c r="C261" s="105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</row>
    <row r="262">
      <c r="B262" s="104"/>
      <c r="C262" s="105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</row>
    <row r="263">
      <c r="B263" s="104"/>
      <c r="C263" s="105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</row>
    <row r="264">
      <c r="B264" s="104"/>
      <c r="C264" s="105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</row>
    <row r="265">
      <c r="B265" s="104"/>
      <c r="C265" s="105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</row>
    <row r="266">
      <c r="B266" s="104"/>
      <c r="C266" s="105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</row>
    <row r="267">
      <c r="B267" s="104"/>
      <c r="C267" s="105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</row>
    <row r="268">
      <c r="B268" s="104"/>
      <c r="C268" s="105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</row>
    <row r="269">
      <c r="B269" s="104"/>
      <c r="C269" s="105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</row>
    <row r="270">
      <c r="B270" s="104"/>
      <c r="C270" s="105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</row>
    <row r="271">
      <c r="B271" s="104"/>
      <c r="C271" s="105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</row>
    <row r="272">
      <c r="B272" s="104"/>
      <c r="C272" s="105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</row>
    <row r="273">
      <c r="B273" s="104"/>
      <c r="C273" s="105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</row>
    <row r="274">
      <c r="B274" s="104"/>
      <c r="C274" s="105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</row>
    <row r="275">
      <c r="B275" s="104"/>
      <c r="C275" s="105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</row>
    <row r="276">
      <c r="B276" s="104"/>
      <c r="C276" s="105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</row>
    <row r="277">
      <c r="B277" s="104"/>
      <c r="C277" s="105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</row>
    <row r="278">
      <c r="B278" s="104"/>
      <c r="C278" s="105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</row>
    <row r="279">
      <c r="B279" s="104"/>
      <c r="C279" s="105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</row>
    <row r="280">
      <c r="B280" s="104"/>
      <c r="C280" s="105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</row>
    <row r="281">
      <c r="B281" s="104"/>
      <c r="C281" s="105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</row>
    <row r="282">
      <c r="B282" s="104"/>
      <c r="C282" s="105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</row>
    <row r="283">
      <c r="B283" s="104"/>
      <c r="C283" s="105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</row>
    <row r="284">
      <c r="B284" s="104"/>
      <c r="C284" s="105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</row>
    <row r="285">
      <c r="B285" s="104"/>
      <c r="C285" s="105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</row>
    <row r="286">
      <c r="B286" s="104"/>
      <c r="C286" s="105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</row>
    <row r="287">
      <c r="B287" s="104"/>
      <c r="C287" s="105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</row>
    <row r="288">
      <c r="B288" s="104"/>
      <c r="C288" s="105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</row>
    <row r="289">
      <c r="B289" s="104"/>
      <c r="C289" s="105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</row>
    <row r="290">
      <c r="B290" s="104"/>
      <c r="C290" s="105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</row>
    <row r="291">
      <c r="B291" s="104"/>
      <c r="C291" s="105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</row>
    <row r="292">
      <c r="B292" s="104"/>
      <c r="C292" s="105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</row>
    <row r="293">
      <c r="B293" s="104"/>
      <c r="C293" s="105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</row>
    <row r="294">
      <c r="B294" s="104"/>
      <c r="C294" s="105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</row>
    <row r="295">
      <c r="B295" s="104"/>
      <c r="C295" s="105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</row>
    <row r="296">
      <c r="B296" s="104"/>
      <c r="C296" s="105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</row>
    <row r="297">
      <c r="B297" s="104"/>
      <c r="C297" s="105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</row>
    <row r="298">
      <c r="B298" s="104"/>
      <c r="C298" s="105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</row>
    <row r="299">
      <c r="B299" s="104"/>
      <c r="C299" s="105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  <c r="AA299" s="104"/>
    </row>
    <row r="300">
      <c r="B300" s="104"/>
      <c r="C300" s="105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  <c r="AA300" s="104"/>
    </row>
    <row r="301">
      <c r="B301" s="104"/>
      <c r="C301" s="105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  <c r="AA301" s="104"/>
    </row>
    <row r="302">
      <c r="B302" s="104"/>
      <c r="C302" s="105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  <c r="AA302" s="104"/>
    </row>
    <row r="303">
      <c r="B303" s="104"/>
      <c r="C303" s="105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</row>
    <row r="304">
      <c r="B304" s="104"/>
      <c r="C304" s="105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  <c r="AA304" s="104"/>
    </row>
    <row r="305">
      <c r="B305" s="104"/>
      <c r="C305" s="105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</row>
    <row r="306">
      <c r="B306" s="104"/>
      <c r="C306" s="105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  <c r="AA306" s="104"/>
    </row>
    <row r="307">
      <c r="B307" s="104"/>
      <c r="C307" s="105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</row>
    <row r="308">
      <c r="B308" s="104"/>
      <c r="C308" s="105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  <c r="AA308" s="104"/>
    </row>
    <row r="309">
      <c r="B309" s="104"/>
      <c r="C309" s="105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  <c r="AA309" s="104"/>
    </row>
    <row r="310">
      <c r="B310" s="104"/>
      <c r="C310" s="105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  <c r="AA310" s="104"/>
    </row>
    <row r="311">
      <c r="B311" s="104"/>
      <c r="C311" s="105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  <c r="AA311" s="104"/>
    </row>
    <row r="312">
      <c r="B312" s="104"/>
      <c r="C312" s="105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</row>
    <row r="313">
      <c r="B313" s="104"/>
      <c r="C313" s="105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</row>
    <row r="314">
      <c r="B314" s="104"/>
      <c r="C314" s="105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  <c r="AA314" s="104"/>
    </row>
    <row r="315">
      <c r="B315" s="104"/>
      <c r="C315" s="105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</row>
    <row r="316">
      <c r="B316" s="104"/>
      <c r="C316" s="105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  <c r="AA316" s="104"/>
    </row>
    <row r="317">
      <c r="B317" s="104"/>
      <c r="C317" s="105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  <c r="AA317" s="104"/>
    </row>
    <row r="318">
      <c r="B318" s="104"/>
      <c r="C318" s="105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  <c r="AA318" s="104"/>
    </row>
    <row r="319">
      <c r="B319" s="104"/>
      <c r="C319" s="105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  <c r="AA319" s="104"/>
    </row>
    <row r="320">
      <c r="B320" s="104"/>
      <c r="C320" s="105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</row>
    <row r="321">
      <c r="B321" s="104"/>
      <c r="C321" s="105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</row>
    <row r="322">
      <c r="B322" s="104"/>
      <c r="C322" s="105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  <c r="AA322" s="104"/>
    </row>
    <row r="323">
      <c r="B323" s="104"/>
      <c r="C323" s="105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  <c r="AA323" s="104"/>
    </row>
    <row r="324">
      <c r="B324" s="104"/>
      <c r="C324" s="105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  <c r="AA324" s="104"/>
    </row>
    <row r="325">
      <c r="B325" s="104"/>
      <c r="C325" s="105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  <c r="AA325" s="104"/>
    </row>
    <row r="326">
      <c r="B326" s="104"/>
      <c r="C326" s="105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  <c r="AA326" s="104"/>
    </row>
    <row r="327">
      <c r="B327" s="104"/>
      <c r="C327" s="105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  <c r="AA327" s="104"/>
    </row>
    <row r="328">
      <c r="B328" s="104"/>
      <c r="C328" s="105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  <c r="AA328" s="104"/>
    </row>
    <row r="329">
      <c r="B329" s="104"/>
      <c r="C329" s="105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</row>
    <row r="330">
      <c r="B330" s="104"/>
      <c r="C330" s="105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</row>
    <row r="331">
      <c r="B331" s="104"/>
      <c r="C331" s="105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</row>
    <row r="332">
      <c r="B332" s="104"/>
      <c r="C332" s="105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  <c r="AA332" s="104"/>
    </row>
    <row r="333">
      <c r="B333" s="104"/>
      <c r="C333" s="105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  <c r="AA333" s="104"/>
    </row>
    <row r="334">
      <c r="B334" s="104"/>
      <c r="C334" s="105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  <c r="AA334" s="104"/>
    </row>
    <row r="335">
      <c r="B335" s="104"/>
      <c r="C335" s="105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</row>
    <row r="336">
      <c r="B336" s="104"/>
      <c r="C336" s="105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  <c r="AA336" s="104"/>
    </row>
    <row r="337">
      <c r="B337" s="104"/>
      <c r="C337" s="105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  <c r="AA337" s="104"/>
    </row>
    <row r="338">
      <c r="B338" s="104"/>
      <c r="C338" s="105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  <c r="AA338" s="104"/>
    </row>
    <row r="339">
      <c r="B339" s="104"/>
      <c r="C339" s="105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  <c r="AA339" s="104"/>
    </row>
    <row r="340">
      <c r="B340" s="104"/>
      <c r="C340" s="105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  <c r="AA340" s="104"/>
    </row>
    <row r="341">
      <c r="B341" s="104"/>
      <c r="C341" s="105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  <c r="AA341" s="104"/>
    </row>
    <row r="342">
      <c r="B342" s="104"/>
      <c r="C342" s="105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  <c r="AA342" s="104"/>
    </row>
    <row r="343">
      <c r="B343" s="104"/>
      <c r="C343" s="105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</row>
    <row r="344">
      <c r="B344" s="104"/>
      <c r="C344" s="105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</row>
    <row r="345">
      <c r="B345" s="104"/>
      <c r="C345" s="105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  <c r="AA345" s="104"/>
    </row>
    <row r="346">
      <c r="B346" s="104"/>
      <c r="C346" s="105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  <c r="AA346" s="104"/>
    </row>
    <row r="347">
      <c r="B347" s="104"/>
      <c r="C347" s="105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</row>
    <row r="348">
      <c r="B348" s="104"/>
      <c r="C348" s="105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</row>
    <row r="349">
      <c r="B349" s="104"/>
      <c r="C349" s="105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</row>
    <row r="350">
      <c r="B350" s="104"/>
      <c r="C350" s="105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  <c r="AA350" s="104"/>
    </row>
    <row r="351">
      <c r="B351" s="104"/>
      <c r="C351" s="105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  <c r="AA351" s="104"/>
    </row>
    <row r="352">
      <c r="B352" s="104"/>
      <c r="C352" s="105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  <c r="AA352" s="104"/>
    </row>
    <row r="353">
      <c r="B353" s="104"/>
      <c r="C353" s="105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  <c r="AA353" s="104"/>
    </row>
    <row r="354">
      <c r="B354" s="104"/>
      <c r="C354" s="105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  <c r="AA354" s="104"/>
    </row>
    <row r="355">
      <c r="B355" s="104"/>
      <c r="C355" s="105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  <c r="AA355" s="104"/>
    </row>
    <row r="356">
      <c r="B356" s="104"/>
      <c r="C356" s="105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  <c r="AA356" s="104"/>
    </row>
    <row r="357">
      <c r="B357" s="104"/>
      <c r="C357" s="105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  <c r="AA357" s="104"/>
    </row>
    <row r="358">
      <c r="B358" s="104"/>
      <c r="C358" s="105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  <c r="AA358" s="104"/>
    </row>
    <row r="359">
      <c r="B359" s="104"/>
      <c r="C359" s="105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  <c r="AA359" s="104"/>
    </row>
    <row r="360">
      <c r="B360" s="104"/>
      <c r="C360" s="105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  <c r="AA360" s="104"/>
    </row>
    <row r="361">
      <c r="B361" s="104"/>
      <c r="C361" s="105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</row>
    <row r="362">
      <c r="B362" s="104"/>
      <c r="C362" s="105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</row>
    <row r="363">
      <c r="B363" s="104"/>
      <c r="C363" s="105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</row>
    <row r="364">
      <c r="B364" s="104"/>
      <c r="C364" s="105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</row>
    <row r="365">
      <c r="B365" s="104"/>
      <c r="C365" s="105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</row>
    <row r="366">
      <c r="B366" s="104"/>
      <c r="C366" s="105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</row>
    <row r="367">
      <c r="B367" s="104"/>
      <c r="C367" s="105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</row>
    <row r="368">
      <c r="B368" s="104"/>
      <c r="C368" s="105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</row>
    <row r="369">
      <c r="B369" s="104"/>
      <c r="C369" s="105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</row>
    <row r="370">
      <c r="B370" s="104"/>
      <c r="C370" s="105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</row>
    <row r="371">
      <c r="B371" s="104"/>
      <c r="C371" s="105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</row>
    <row r="372">
      <c r="B372" s="104"/>
      <c r="C372" s="105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</row>
    <row r="373">
      <c r="B373" s="104"/>
      <c r="C373" s="105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</row>
    <row r="374">
      <c r="B374" s="104"/>
      <c r="C374" s="105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</row>
    <row r="375">
      <c r="B375" s="104"/>
      <c r="C375" s="105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</row>
    <row r="376">
      <c r="B376" s="104"/>
      <c r="C376" s="105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</row>
    <row r="377">
      <c r="B377" s="104"/>
      <c r="C377" s="105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</row>
    <row r="378">
      <c r="B378" s="104"/>
      <c r="C378" s="105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</row>
    <row r="379">
      <c r="B379" s="104"/>
      <c r="C379" s="105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</row>
    <row r="380">
      <c r="B380" s="104"/>
      <c r="C380" s="105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</row>
    <row r="381">
      <c r="B381" s="104"/>
      <c r="C381" s="105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</row>
    <row r="382">
      <c r="B382" s="104"/>
      <c r="C382" s="105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</row>
    <row r="383">
      <c r="B383" s="104"/>
      <c r="C383" s="105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</row>
    <row r="384">
      <c r="B384" s="104"/>
      <c r="C384" s="105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</row>
    <row r="385">
      <c r="B385" s="104"/>
      <c r="C385" s="105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</row>
    <row r="386">
      <c r="B386" s="104"/>
      <c r="C386" s="105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</row>
    <row r="387">
      <c r="B387" s="104"/>
      <c r="C387" s="105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</row>
    <row r="388">
      <c r="B388" s="104"/>
      <c r="C388" s="105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</row>
    <row r="389">
      <c r="B389" s="104"/>
      <c r="C389" s="105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</row>
    <row r="390">
      <c r="B390" s="104"/>
      <c r="C390" s="105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</row>
    <row r="391">
      <c r="B391" s="104"/>
      <c r="C391" s="105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</row>
    <row r="392">
      <c r="B392" s="104"/>
      <c r="C392" s="105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</row>
    <row r="393">
      <c r="B393" s="104"/>
      <c r="C393" s="105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</row>
    <row r="394">
      <c r="B394" s="104"/>
      <c r="C394" s="105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</row>
    <row r="395">
      <c r="B395" s="104"/>
      <c r="C395" s="105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</row>
    <row r="396">
      <c r="B396" s="104"/>
      <c r="C396" s="105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</row>
    <row r="397">
      <c r="B397" s="104"/>
      <c r="C397" s="105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</row>
    <row r="398">
      <c r="B398" s="104"/>
      <c r="C398" s="105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</row>
    <row r="399">
      <c r="B399" s="104"/>
      <c r="C399" s="105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</row>
    <row r="400">
      <c r="B400" s="104"/>
      <c r="C400" s="105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</row>
    <row r="401">
      <c r="B401" s="104"/>
      <c r="C401" s="105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</row>
    <row r="402">
      <c r="B402" s="104"/>
      <c r="C402" s="105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</row>
    <row r="403">
      <c r="B403" s="104"/>
      <c r="C403" s="105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</row>
    <row r="404">
      <c r="B404" s="104"/>
      <c r="C404" s="105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</row>
    <row r="405">
      <c r="B405" s="104"/>
      <c r="C405" s="105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</row>
    <row r="406">
      <c r="B406" s="104"/>
      <c r="C406" s="105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</row>
    <row r="407">
      <c r="B407" s="104"/>
      <c r="C407" s="105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</row>
    <row r="408">
      <c r="B408" s="104"/>
      <c r="C408" s="105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</row>
    <row r="409">
      <c r="B409" s="104"/>
      <c r="C409" s="105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</row>
    <row r="410">
      <c r="B410" s="104"/>
      <c r="C410" s="105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</row>
    <row r="411">
      <c r="B411" s="104"/>
      <c r="C411" s="105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</row>
    <row r="412">
      <c r="B412" s="104"/>
      <c r="C412" s="105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</row>
    <row r="413">
      <c r="B413" s="104"/>
      <c r="C413" s="105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</row>
    <row r="414">
      <c r="B414" s="104"/>
      <c r="C414" s="105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</row>
    <row r="415">
      <c r="B415" s="104"/>
      <c r="C415" s="105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</row>
    <row r="416">
      <c r="B416" s="104"/>
      <c r="C416" s="105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</row>
    <row r="417">
      <c r="B417" s="104"/>
      <c r="C417" s="105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</row>
    <row r="418">
      <c r="B418" s="104"/>
      <c r="C418" s="105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</row>
    <row r="419">
      <c r="B419" s="104"/>
      <c r="C419" s="105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</row>
    <row r="420">
      <c r="B420" s="104"/>
      <c r="C420" s="105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</row>
    <row r="421">
      <c r="B421" s="104"/>
      <c r="C421" s="105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</row>
    <row r="422">
      <c r="B422" s="104"/>
      <c r="C422" s="105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</row>
    <row r="423">
      <c r="B423" s="104"/>
      <c r="C423" s="105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</row>
    <row r="424">
      <c r="B424" s="104"/>
      <c r="C424" s="105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</row>
    <row r="425">
      <c r="B425" s="104"/>
      <c r="C425" s="105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</row>
    <row r="426">
      <c r="B426" s="104"/>
      <c r="C426" s="105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</row>
    <row r="427">
      <c r="B427" s="104"/>
      <c r="C427" s="105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</row>
    <row r="428">
      <c r="B428" s="104"/>
      <c r="C428" s="105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</row>
    <row r="429">
      <c r="B429" s="104"/>
      <c r="C429" s="105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</row>
    <row r="430">
      <c r="B430" s="104"/>
      <c r="C430" s="105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</row>
    <row r="431">
      <c r="B431" s="104"/>
      <c r="C431" s="105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</row>
    <row r="432">
      <c r="B432" s="104"/>
      <c r="C432" s="105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</row>
    <row r="433">
      <c r="B433" s="104"/>
      <c r="C433" s="105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</row>
    <row r="434">
      <c r="B434" s="104"/>
      <c r="C434" s="105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</row>
    <row r="435">
      <c r="B435" s="104"/>
      <c r="C435" s="105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</row>
    <row r="436">
      <c r="B436" s="104"/>
      <c r="C436" s="105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</row>
    <row r="437">
      <c r="B437" s="104"/>
      <c r="C437" s="105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</row>
    <row r="438">
      <c r="B438" s="104"/>
      <c r="C438" s="105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</row>
    <row r="439">
      <c r="B439" s="104"/>
      <c r="C439" s="105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</row>
    <row r="440">
      <c r="B440" s="104"/>
      <c r="C440" s="105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</row>
    <row r="441">
      <c r="B441" s="104"/>
      <c r="C441" s="105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</row>
    <row r="442">
      <c r="B442" s="104"/>
      <c r="C442" s="105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</row>
    <row r="443">
      <c r="B443" s="104"/>
      <c r="C443" s="105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</row>
    <row r="444">
      <c r="B444" s="104"/>
      <c r="C444" s="105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</row>
    <row r="445">
      <c r="B445" s="104"/>
      <c r="C445" s="105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</row>
    <row r="446">
      <c r="B446" s="104"/>
      <c r="C446" s="105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</row>
    <row r="447">
      <c r="B447" s="104"/>
      <c r="C447" s="105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</row>
    <row r="448">
      <c r="B448" s="104"/>
      <c r="C448" s="105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</row>
    <row r="449">
      <c r="B449" s="104"/>
      <c r="C449" s="105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</row>
    <row r="450">
      <c r="B450" s="104"/>
      <c r="C450" s="105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</row>
    <row r="451">
      <c r="B451" s="104"/>
      <c r="C451" s="105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</row>
    <row r="452">
      <c r="B452" s="104"/>
      <c r="C452" s="105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</row>
    <row r="453">
      <c r="B453" s="104"/>
      <c r="C453" s="105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</row>
    <row r="454">
      <c r="B454" s="104"/>
      <c r="C454" s="105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</row>
    <row r="455">
      <c r="B455" s="104"/>
      <c r="C455" s="105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</row>
    <row r="456">
      <c r="B456" s="104"/>
      <c r="C456" s="105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</row>
    <row r="457">
      <c r="B457" s="104"/>
      <c r="C457" s="105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</row>
    <row r="458">
      <c r="B458" s="104"/>
      <c r="C458" s="105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</row>
    <row r="459">
      <c r="B459" s="104"/>
      <c r="C459" s="105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</row>
    <row r="460">
      <c r="B460" s="104"/>
      <c r="C460" s="105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</row>
    <row r="461">
      <c r="B461" s="104"/>
      <c r="C461" s="105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</row>
    <row r="462">
      <c r="B462" s="104"/>
      <c r="C462" s="105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</row>
    <row r="463">
      <c r="B463" s="104"/>
      <c r="C463" s="105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</row>
    <row r="464">
      <c r="B464" s="104"/>
      <c r="C464" s="105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</row>
    <row r="465">
      <c r="B465" s="104"/>
      <c r="C465" s="105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</row>
    <row r="466">
      <c r="B466" s="104"/>
      <c r="C466" s="105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  <c r="AA466" s="104"/>
    </row>
    <row r="467">
      <c r="B467" s="104"/>
      <c r="C467" s="105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  <c r="AA467" s="104"/>
    </row>
    <row r="468">
      <c r="B468" s="104"/>
      <c r="C468" s="105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  <c r="AA468" s="104"/>
    </row>
    <row r="469">
      <c r="B469" s="104"/>
      <c r="C469" s="105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  <c r="AA469" s="104"/>
    </row>
    <row r="470">
      <c r="B470" s="104"/>
      <c r="C470" s="105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  <c r="AA470" s="104"/>
    </row>
    <row r="471">
      <c r="B471" s="104"/>
      <c r="C471" s="105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  <c r="AA471" s="104"/>
    </row>
    <row r="472">
      <c r="B472" s="104"/>
      <c r="C472" s="105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  <c r="AA472" s="104"/>
    </row>
    <row r="473">
      <c r="B473" s="104"/>
      <c r="C473" s="105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  <c r="AA473" s="104"/>
    </row>
    <row r="474">
      <c r="B474" s="104"/>
      <c r="C474" s="105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  <c r="AA474" s="104"/>
    </row>
    <row r="475">
      <c r="B475" s="104"/>
      <c r="C475" s="105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  <c r="AA475" s="104"/>
    </row>
    <row r="476">
      <c r="B476" s="104"/>
      <c r="C476" s="105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  <c r="AA476" s="104"/>
    </row>
    <row r="477">
      <c r="B477" s="104"/>
      <c r="C477" s="105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  <c r="AA477" s="104"/>
    </row>
    <row r="478">
      <c r="B478" s="104"/>
      <c r="C478" s="105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  <c r="AA478" s="104"/>
    </row>
    <row r="479">
      <c r="B479" s="104"/>
      <c r="C479" s="105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  <c r="AA479" s="104"/>
    </row>
    <row r="480">
      <c r="B480" s="104"/>
      <c r="C480" s="105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  <c r="AA480" s="104"/>
    </row>
    <row r="481">
      <c r="B481" s="104"/>
      <c r="C481" s="105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  <c r="AA481" s="104"/>
    </row>
    <row r="482">
      <c r="B482" s="104"/>
      <c r="C482" s="105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  <c r="AA482" s="104"/>
    </row>
    <row r="483">
      <c r="B483" s="104"/>
      <c r="C483" s="105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  <c r="AA483" s="104"/>
    </row>
    <row r="484">
      <c r="B484" s="104"/>
      <c r="C484" s="105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  <c r="AA484" s="104"/>
    </row>
    <row r="485">
      <c r="B485" s="104"/>
      <c r="C485" s="105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  <c r="AA485" s="104"/>
    </row>
    <row r="486">
      <c r="B486" s="104"/>
      <c r="C486" s="105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  <c r="AA486" s="104"/>
    </row>
    <row r="487">
      <c r="B487" s="104"/>
      <c r="C487" s="105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  <c r="AA487" s="104"/>
    </row>
    <row r="488">
      <c r="B488" s="104"/>
      <c r="C488" s="105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  <c r="AA488" s="104"/>
    </row>
    <row r="489">
      <c r="B489" s="104"/>
      <c r="C489" s="105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  <c r="AA489" s="104"/>
    </row>
    <row r="490">
      <c r="B490" s="104"/>
      <c r="C490" s="105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  <c r="AA490" s="104"/>
    </row>
    <row r="491">
      <c r="B491" s="104"/>
      <c r="C491" s="105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  <c r="AA491" s="104"/>
    </row>
    <row r="492">
      <c r="B492" s="104"/>
      <c r="C492" s="105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  <c r="AA492" s="104"/>
    </row>
    <row r="493">
      <c r="B493" s="104"/>
      <c r="C493" s="105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  <c r="AA493" s="104"/>
    </row>
    <row r="494">
      <c r="B494" s="104"/>
      <c r="C494" s="105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  <c r="AA494" s="104"/>
    </row>
    <row r="495">
      <c r="B495" s="104"/>
      <c r="C495" s="105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  <c r="AA495" s="104"/>
    </row>
    <row r="496">
      <c r="B496" s="104"/>
      <c r="C496" s="105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  <c r="AA496" s="104"/>
    </row>
    <row r="497">
      <c r="B497" s="104"/>
      <c r="C497" s="105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  <c r="AA497" s="104"/>
    </row>
    <row r="498">
      <c r="B498" s="104"/>
      <c r="C498" s="105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  <c r="AA498" s="104"/>
    </row>
    <row r="499">
      <c r="B499" s="104"/>
      <c r="C499" s="105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  <c r="AA499" s="104"/>
    </row>
    <row r="500">
      <c r="B500" s="104"/>
      <c r="C500" s="105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  <c r="AA500" s="104"/>
    </row>
    <row r="501">
      <c r="B501" s="104"/>
      <c r="C501" s="105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  <c r="AA501" s="104"/>
    </row>
    <row r="502">
      <c r="B502" s="104"/>
      <c r="C502" s="105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  <c r="AA502" s="104"/>
    </row>
    <row r="503">
      <c r="B503" s="104"/>
      <c r="C503" s="105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  <c r="AA503" s="104"/>
    </row>
    <row r="504">
      <c r="B504" s="104"/>
      <c r="C504" s="105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  <c r="AA504" s="104"/>
    </row>
    <row r="505">
      <c r="B505" s="104"/>
      <c r="C505" s="105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  <c r="AA505" s="104"/>
    </row>
    <row r="506">
      <c r="B506" s="104"/>
      <c r="C506" s="105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  <c r="AA506" s="104"/>
    </row>
    <row r="507">
      <c r="B507" s="104"/>
      <c r="C507" s="105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  <c r="AA507" s="104"/>
    </row>
    <row r="508">
      <c r="B508" s="104"/>
      <c r="C508" s="105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  <c r="AA508" s="104"/>
    </row>
    <row r="509">
      <c r="B509" s="104"/>
      <c r="C509" s="105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  <c r="AA509" s="104"/>
    </row>
    <row r="510">
      <c r="B510" s="104"/>
      <c r="C510" s="105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  <c r="AA510" s="104"/>
    </row>
    <row r="511">
      <c r="B511" s="104"/>
      <c r="C511" s="105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  <c r="AA511" s="104"/>
    </row>
    <row r="512">
      <c r="B512" s="104"/>
      <c r="C512" s="105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  <c r="AA512" s="104"/>
    </row>
    <row r="513">
      <c r="B513" s="104"/>
      <c r="C513" s="105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  <c r="AA513" s="104"/>
    </row>
    <row r="514">
      <c r="B514" s="104"/>
      <c r="C514" s="105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  <c r="AA514" s="104"/>
    </row>
    <row r="515">
      <c r="B515" s="104"/>
      <c r="C515" s="105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  <c r="AA515" s="104"/>
    </row>
    <row r="516">
      <c r="B516" s="104"/>
      <c r="C516" s="105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  <c r="AA516" s="104"/>
    </row>
    <row r="517">
      <c r="B517" s="104"/>
      <c r="C517" s="105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  <c r="AA517" s="104"/>
    </row>
    <row r="518">
      <c r="B518" s="104"/>
      <c r="C518" s="105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  <c r="AA518" s="104"/>
    </row>
    <row r="519">
      <c r="B519" s="104"/>
      <c r="C519" s="105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  <c r="AA519" s="104"/>
    </row>
    <row r="520">
      <c r="B520" s="104"/>
      <c r="C520" s="105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  <c r="AA520" s="104"/>
    </row>
    <row r="521">
      <c r="B521" s="104"/>
      <c r="C521" s="105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  <c r="AA521" s="104"/>
    </row>
    <row r="522">
      <c r="B522" s="104"/>
      <c r="C522" s="105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  <c r="AA522" s="104"/>
    </row>
    <row r="523">
      <c r="B523" s="104"/>
      <c r="C523" s="105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  <c r="AA523" s="104"/>
    </row>
    <row r="524">
      <c r="B524" s="104"/>
      <c r="C524" s="105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  <c r="AA524" s="104"/>
    </row>
    <row r="525">
      <c r="B525" s="104"/>
      <c r="C525" s="105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  <c r="AA525" s="104"/>
    </row>
    <row r="526">
      <c r="B526" s="104"/>
      <c r="C526" s="105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  <c r="AA526" s="104"/>
    </row>
    <row r="527">
      <c r="B527" s="104"/>
      <c r="C527" s="105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  <c r="AA527" s="104"/>
    </row>
    <row r="528">
      <c r="B528" s="104"/>
      <c r="C528" s="105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  <c r="AA528" s="104"/>
    </row>
    <row r="529">
      <c r="B529" s="104"/>
      <c r="C529" s="105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  <c r="AA529" s="104"/>
    </row>
    <row r="530">
      <c r="B530" s="104"/>
      <c r="C530" s="105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  <c r="AA530" s="104"/>
    </row>
    <row r="531">
      <c r="B531" s="104"/>
      <c r="C531" s="105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  <c r="AA531" s="104"/>
    </row>
    <row r="532">
      <c r="B532" s="104"/>
      <c r="C532" s="105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  <c r="AA532" s="104"/>
    </row>
    <row r="533">
      <c r="B533" s="104"/>
      <c r="C533" s="105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  <c r="AA533" s="104"/>
    </row>
    <row r="534">
      <c r="B534" s="104"/>
      <c r="C534" s="105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  <c r="AA534" s="104"/>
    </row>
    <row r="535">
      <c r="B535" s="104"/>
      <c r="C535" s="105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  <c r="AA535" s="104"/>
    </row>
    <row r="536">
      <c r="B536" s="104"/>
      <c r="C536" s="105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  <c r="AA536" s="104"/>
    </row>
    <row r="537">
      <c r="B537" s="104"/>
      <c r="C537" s="105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  <c r="AA537" s="104"/>
    </row>
    <row r="538">
      <c r="B538" s="104"/>
      <c r="C538" s="105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  <c r="AA538" s="104"/>
    </row>
    <row r="539">
      <c r="B539" s="104"/>
      <c r="C539" s="105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  <c r="AA539" s="104"/>
    </row>
    <row r="540">
      <c r="B540" s="104"/>
      <c r="C540" s="105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  <c r="AA540" s="104"/>
    </row>
    <row r="541">
      <c r="B541" s="104"/>
      <c r="C541" s="105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  <c r="AA541" s="104"/>
    </row>
    <row r="542">
      <c r="B542" s="104"/>
      <c r="C542" s="105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  <c r="AA542" s="104"/>
    </row>
    <row r="543">
      <c r="B543" s="104"/>
      <c r="C543" s="105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  <c r="AA543" s="104"/>
    </row>
    <row r="544">
      <c r="B544" s="104"/>
      <c r="C544" s="105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  <c r="AA544" s="104"/>
    </row>
    <row r="545">
      <c r="B545" s="104"/>
      <c r="C545" s="105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  <c r="AA545" s="104"/>
    </row>
    <row r="546">
      <c r="B546" s="104"/>
      <c r="C546" s="105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  <c r="AA546" s="104"/>
    </row>
    <row r="547">
      <c r="B547" s="104"/>
      <c r="C547" s="105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  <c r="AA547" s="104"/>
    </row>
    <row r="548">
      <c r="B548" s="104"/>
      <c r="C548" s="105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  <c r="AA548" s="104"/>
    </row>
    <row r="549">
      <c r="B549" s="104"/>
      <c r="C549" s="105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  <c r="AA549" s="104"/>
    </row>
    <row r="550">
      <c r="B550" s="104"/>
      <c r="C550" s="105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  <c r="AA550" s="104"/>
    </row>
    <row r="551">
      <c r="B551" s="104"/>
      <c r="C551" s="105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  <c r="AA551" s="104"/>
    </row>
    <row r="552">
      <c r="B552" s="104"/>
      <c r="C552" s="105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  <c r="AA552" s="104"/>
    </row>
    <row r="553">
      <c r="B553" s="104"/>
      <c r="C553" s="105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  <c r="AA553" s="104"/>
    </row>
    <row r="554">
      <c r="B554" s="104"/>
      <c r="C554" s="105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  <c r="AA554" s="104"/>
    </row>
    <row r="555">
      <c r="B555" s="104"/>
      <c r="C555" s="105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  <c r="AA555" s="104"/>
    </row>
    <row r="556">
      <c r="B556" s="104"/>
      <c r="C556" s="105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  <c r="AA556" s="104"/>
    </row>
    <row r="557">
      <c r="B557" s="104"/>
      <c r="C557" s="105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  <c r="AA557" s="104"/>
    </row>
    <row r="558">
      <c r="B558" s="104"/>
      <c r="C558" s="105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  <c r="AA558" s="104"/>
    </row>
    <row r="559">
      <c r="B559" s="104"/>
      <c r="C559" s="105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  <c r="AA559" s="104"/>
    </row>
    <row r="560">
      <c r="B560" s="104"/>
      <c r="C560" s="105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  <c r="AA560" s="104"/>
    </row>
    <row r="561">
      <c r="B561" s="104"/>
      <c r="C561" s="105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  <c r="AA561" s="104"/>
    </row>
    <row r="562">
      <c r="B562" s="104"/>
      <c r="C562" s="105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  <c r="AA562" s="104"/>
    </row>
    <row r="563">
      <c r="B563" s="104"/>
      <c r="C563" s="105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  <c r="AA563" s="104"/>
    </row>
    <row r="564">
      <c r="B564" s="104"/>
      <c r="C564" s="105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  <c r="AA564" s="104"/>
    </row>
    <row r="565">
      <c r="B565" s="104"/>
      <c r="C565" s="105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  <c r="AA565" s="104"/>
    </row>
    <row r="566">
      <c r="B566" s="104"/>
      <c r="C566" s="105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  <c r="AA566" s="104"/>
    </row>
    <row r="567">
      <c r="B567" s="104"/>
      <c r="C567" s="105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  <c r="AA567" s="104"/>
    </row>
    <row r="568">
      <c r="B568" s="104"/>
      <c r="C568" s="105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  <c r="AA568" s="104"/>
    </row>
    <row r="569">
      <c r="B569" s="104"/>
      <c r="C569" s="105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  <c r="AA569" s="104"/>
    </row>
    <row r="570">
      <c r="B570" s="104"/>
      <c r="C570" s="105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  <c r="AA570" s="104"/>
    </row>
    <row r="571">
      <c r="B571" s="104"/>
      <c r="C571" s="105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  <c r="AA571" s="104"/>
    </row>
    <row r="572">
      <c r="B572" s="104"/>
      <c r="C572" s="105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  <c r="AA572" s="104"/>
    </row>
    <row r="573">
      <c r="B573" s="104"/>
      <c r="C573" s="105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  <c r="AA573" s="104"/>
    </row>
    <row r="574">
      <c r="B574" s="104"/>
      <c r="C574" s="105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  <c r="AA574" s="104"/>
    </row>
    <row r="575">
      <c r="B575" s="104"/>
      <c r="C575" s="105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  <c r="AA575" s="104"/>
    </row>
    <row r="576">
      <c r="B576" s="104"/>
      <c r="C576" s="105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  <c r="AA576" s="104"/>
    </row>
    <row r="577">
      <c r="B577" s="104"/>
      <c r="C577" s="105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  <c r="AA577" s="104"/>
    </row>
    <row r="578">
      <c r="B578" s="104"/>
      <c r="C578" s="105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  <c r="AA578" s="104"/>
    </row>
    <row r="579">
      <c r="B579" s="104"/>
      <c r="C579" s="105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  <c r="AA579" s="104"/>
    </row>
    <row r="580">
      <c r="B580" s="104"/>
      <c r="C580" s="105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  <c r="AA580" s="104"/>
    </row>
    <row r="581">
      <c r="B581" s="104"/>
      <c r="C581" s="105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  <c r="AA581" s="104"/>
    </row>
    <row r="582">
      <c r="B582" s="104"/>
      <c r="C582" s="105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  <c r="AA582" s="104"/>
    </row>
    <row r="583">
      <c r="B583" s="104"/>
      <c r="C583" s="105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  <c r="AA583" s="104"/>
    </row>
    <row r="584">
      <c r="B584" s="104"/>
      <c r="C584" s="105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  <c r="AA584" s="104"/>
    </row>
    <row r="585">
      <c r="B585" s="104"/>
      <c r="C585" s="105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  <c r="AA585" s="104"/>
    </row>
    <row r="586">
      <c r="B586" s="104"/>
      <c r="C586" s="105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  <c r="AA586" s="104"/>
    </row>
    <row r="587">
      <c r="B587" s="104"/>
      <c r="C587" s="105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  <c r="AA587" s="104"/>
    </row>
    <row r="588">
      <c r="B588" s="104"/>
      <c r="C588" s="105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  <c r="AA588" s="104"/>
    </row>
    <row r="589">
      <c r="B589" s="104"/>
      <c r="C589" s="105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  <c r="AA589" s="104"/>
    </row>
    <row r="590">
      <c r="B590" s="104"/>
      <c r="C590" s="105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  <c r="AA590" s="104"/>
    </row>
    <row r="591">
      <c r="B591" s="104"/>
      <c r="C591" s="105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  <c r="AA591" s="104"/>
    </row>
    <row r="592">
      <c r="B592" s="104"/>
      <c r="C592" s="105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  <c r="AA592" s="104"/>
    </row>
    <row r="593">
      <c r="B593" s="104"/>
      <c r="C593" s="105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  <c r="AA593" s="104"/>
    </row>
    <row r="594">
      <c r="B594" s="104"/>
      <c r="C594" s="105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  <c r="AA594" s="104"/>
    </row>
    <row r="595">
      <c r="B595" s="104"/>
      <c r="C595" s="105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  <c r="AA595" s="104"/>
    </row>
    <row r="596">
      <c r="B596" s="104"/>
      <c r="C596" s="105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  <c r="AA596" s="104"/>
    </row>
    <row r="597">
      <c r="B597" s="104"/>
      <c r="C597" s="105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  <c r="AA597" s="104"/>
    </row>
    <row r="598">
      <c r="B598" s="104"/>
      <c r="C598" s="105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  <c r="AA598" s="104"/>
    </row>
    <row r="599">
      <c r="B599" s="104"/>
      <c r="C599" s="105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  <c r="AA599" s="104"/>
    </row>
    <row r="600">
      <c r="B600" s="104"/>
      <c r="C600" s="105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  <c r="AA600" s="104"/>
    </row>
    <row r="601">
      <c r="B601" s="104"/>
      <c r="C601" s="105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  <c r="AA601" s="104"/>
    </row>
    <row r="602">
      <c r="B602" s="104"/>
      <c r="C602" s="105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  <c r="AA602" s="104"/>
    </row>
    <row r="603">
      <c r="B603" s="104"/>
      <c r="C603" s="105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  <c r="AA603" s="104"/>
    </row>
    <row r="604">
      <c r="B604" s="104"/>
      <c r="C604" s="105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  <c r="AA604" s="104"/>
    </row>
    <row r="605">
      <c r="B605" s="104"/>
      <c r="C605" s="105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  <c r="AA605" s="104"/>
    </row>
    <row r="606">
      <c r="B606" s="104"/>
      <c r="C606" s="105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  <c r="AA606" s="104"/>
    </row>
    <row r="607">
      <c r="B607" s="104"/>
      <c r="C607" s="105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  <c r="AA607" s="104"/>
    </row>
    <row r="608">
      <c r="B608" s="104"/>
      <c r="C608" s="105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  <c r="AA608" s="104"/>
    </row>
    <row r="609">
      <c r="B609" s="104"/>
      <c r="C609" s="105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  <c r="AA609" s="104"/>
    </row>
    <row r="610">
      <c r="B610" s="104"/>
      <c r="C610" s="105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  <c r="AA610" s="104"/>
    </row>
    <row r="611">
      <c r="B611" s="104"/>
      <c r="C611" s="105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  <c r="AA611" s="104"/>
    </row>
    <row r="612">
      <c r="B612" s="104"/>
      <c r="C612" s="105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  <c r="AA612" s="104"/>
    </row>
    <row r="613">
      <c r="B613" s="104"/>
      <c r="C613" s="105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  <c r="AA613" s="104"/>
    </row>
    <row r="614">
      <c r="B614" s="104"/>
      <c r="C614" s="105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  <c r="AA614" s="104"/>
    </row>
    <row r="615">
      <c r="B615" s="104"/>
      <c r="C615" s="105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  <c r="AA615" s="104"/>
    </row>
    <row r="616">
      <c r="B616" s="104"/>
      <c r="C616" s="105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  <c r="AA616" s="104"/>
    </row>
    <row r="617">
      <c r="B617" s="104"/>
      <c r="C617" s="105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  <c r="AA617" s="104"/>
    </row>
    <row r="618">
      <c r="B618" s="104"/>
      <c r="C618" s="105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  <c r="AA618" s="104"/>
    </row>
    <row r="619">
      <c r="B619" s="104"/>
      <c r="C619" s="105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  <c r="AA619" s="104"/>
    </row>
    <row r="620">
      <c r="B620" s="104"/>
      <c r="C620" s="105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  <c r="AA620" s="104"/>
    </row>
    <row r="621">
      <c r="B621" s="104"/>
      <c r="C621" s="105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  <c r="AA621" s="104"/>
    </row>
    <row r="622">
      <c r="B622" s="104"/>
      <c r="C622" s="105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  <c r="AA622" s="104"/>
    </row>
    <row r="623">
      <c r="B623" s="104"/>
      <c r="C623" s="105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  <c r="AA623" s="104"/>
    </row>
    <row r="624">
      <c r="B624" s="104"/>
      <c r="C624" s="105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  <c r="AA624" s="104"/>
    </row>
    <row r="625">
      <c r="B625" s="104"/>
      <c r="C625" s="105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  <c r="AA625" s="104"/>
    </row>
    <row r="626">
      <c r="B626" s="104"/>
      <c r="C626" s="105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  <c r="AA626" s="104"/>
    </row>
    <row r="627">
      <c r="B627" s="104"/>
      <c r="C627" s="105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  <c r="AA627" s="104"/>
    </row>
    <row r="628">
      <c r="B628" s="104"/>
      <c r="C628" s="105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  <c r="AA628" s="104"/>
    </row>
    <row r="629">
      <c r="B629" s="104"/>
      <c r="C629" s="105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  <c r="AA629" s="104"/>
    </row>
    <row r="630">
      <c r="B630" s="104"/>
      <c r="C630" s="105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  <c r="AA630" s="104"/>
    </row>
    <row r="631">
      <c r="B631" s="104"/>
      <c r="C631" s="105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  <c r="AA631" s="104"/>
    </row>
    <row r="632">
      <c r="B632" s="104"/>
      <c r="C632" s="105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  <c r="AA632" s="104"/>
    </row>
    <row r="633">
      <c r="B633" s="104"/>
      <c r="C633" s="105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  <c r="AA633" s="104"/>
    </row>
    <row r="634">
      <c r="B634" s="104"/>
      <c r="C634" s="105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  <c r="AA634" s="104"/>
    </row>
    <row r="635">
      <c r="B635" s="104"/>
      <c r="C635" s="105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  <c r="AA635" s="104"/>
    </row>
    <row r="636">
      <c r="B636" s="104"/>
      <c r="C636" s="105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  <c r="AA636" s="104"/>
    </row>
    <row r="637">
      <c r="B637" s="104"/>
      <c r="C637" s="105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  <c r="AA637" s="104"/>
    </row>
    <row r="638">
      <c r="B638" s="104"/>
      <c r="C638" s="105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  <c r="AA638" s="104"/>
    </row>
    <row r="639">
      <c r="B639" s="104"/>
      <c r="C639" s="105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  <c r="AA639" s="104"/>
    </row>
    <row r="640">
      <c r="B640" s="104"/>
      <c r="C640" s="105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  <c r="AA640" s="104"/>
    </row>
    <row r="641">
      <c r="B641" s="104"/>
      <c r="C641" s="105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  <c r="AA641" s="104"/>
    </row>
    <row r="642">
      <c r="B642" s="104"/>
      <c r="C642" s="105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  <c r="AA642" s="104"/>
    </row>
    <row r="643">
      <c r="B643" s="104"/>
      <c r="C643" s="105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  <c r="AA643" s="104"/>
    </row>
    <row r="644">
      <c r="B644" s="104"/>
      <c r="C644" s="105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  <c r="AA644" s="104"/>
    </row>
    <row r="645">
      <c r="B645" s="104"/>
      <c r="C645" s="105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  <c r="AA645" s="104"/>
    </row>
    <row r="646">
      <c r="B646" s="104"/>
      <c r="C646" s="105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  <c r="AA646" s="104"/>
    </row>
    <row r="647">
      <c r="B647" s="104"/>
      <c r="C647" s="105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  <c r="AA647" s="104"/>
    </row>
    <row r="648">
      <c r="B648" s="104"/>
      <c r="C648" s="105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  <c r="AA648" s="104"/>
    </row>
    <row r="649">
      <c r="B649" s="104"/>
      <c r="C649" s="105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  <c r="AA649" s="104"/>
    </row>
    <row r="650">
      <c r="B650" s="104"/>
      <c r="C650" s="105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  <c r="AA650" s="104"/>
    </row>
    <row r="651">
      <c r="B651" s="104"/>
      <c r="C651" s="105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  <c r="AA651" s="104"/>
    </row>
    <row r="652">
      <c r="B652" s="104"/>
      <c r="C652" s="105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  <c r="AA652" s="104"/>
    </row>
    <row r="653">
      <c r="B653" s="104"/>
      <c r="C653" s="105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  <c r="AA653" s="104"/>
    </row>
    <row r="654">
      <c r="B654" s="104"/>
      <c r="C654" s="105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  <c r="AA654" s="104"/>
    </row>
    <row r="655">
      <c r="B655" s="104"/>
      <c r="C655" s="105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  <c r="AA655" s="104"/>
    </row>
    <row r="656">
      <c r="B656" s="104"/>
      <c r="C656" s="105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</row>
    <row r="657">
      <c r="B657" s="104"/>
      <c r="C657" s="105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</row>
    <row r="658">
      <c r="B658" s="104"/>
      <c r="C658" s="105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  <c r="AA658" s="104"/>
    </row>
    <row r="659">
      <c r="B659" s="104"/>
      <c r="C659" s="105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  <c r="AA659" s="104"/>
    </row>
    <row r="660">
      <c r="B660" s="104"/>
      <c r="C660" s="105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  <c r="AA660" s="104"/>
    </row>
    <row r="661">
      <c r="B661" s="104"/>
      <c r="C661" s="105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  <c r="AA661" s="104"/>
    </row>
    <row r="662">
      <c r="B662" s="104"/>
      <c r="C662" s="105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  <c r="AA662" s="104"/>
    </row>
    <row r="663">
      <c r="B663" s="104"/>
      <c r="C663" s="105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  <c r="AA663" s="104"/>
    </row>
    <row r="664">
      <c r="B664" s="104"/>
      <c r="C664" s="105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  <c r="AA664" s="104"/>
    </row>
    <row r="665">
      <c r="B665" s="104"/>
      <c r="C665" s="105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  <c r="AA665" s="104"/>
    </row>
    <row r="666">
      <c r="B666" s="104"/>
      <c r="C666" s="105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  <c r="AA666" s="104"/>
    </row>
    <row r="667">
      <c r="B667" s="104"/>
      <c r="C667" s="105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  <c r="AA667" s="104"/>
    </row>
    <row r="668">
      <c r="B668" s="104"/>
      <c r="C668" s="105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  <c r="AA668" s="104"/>
    </row>
    <row r="669">
      <c r="B669" s="104"/>
      <c r="C669" s="105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  <c r="AA669" s="104"/>
    </row>
    <row r="670">
      <c r="B670" s="104"/>
      <c r="C670" s="105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  <c r="AA670" s="104"/>
    </row>
    <row r="671">
      <c r="B671" s="104"/>
      <c r="C671" s="105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  <c r="AA671" s="104"/>
    </row>
    <row r="672">
      <c r="B672" s="104"/>
      <c r="C672" s="105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  <c r="AA672" s="104"/>
    </row>
    <row r="673">
      <c r="B673" s="104"/>
      <c r="C673" s="105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  <c r="AA673" s="104"/>
    </row>
    <row r="674">
      <c r="B674" s="104"/>
      <c r="C674" s="105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  <c r="AA674" s="104"/>
    </row>
    <row r="675">
      <c r="B675" s="104"/>
      <c r="C675" s="105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  <c r="AA675" s="104"/>
    </row>
    <row r="676">
      <c r="B676" s="104"/>
      <c r="C676" s="105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  <c r="AA676" s="104"/>
    </row>
    <row r="677">
      <c r="B677" s="104"/>
      <c r="C677" s="105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  <c r="AA677" s="104"/>
    </row>
    <row r="678">
      <c r="B678" s="104"/>
      <c r="C678" s="105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  <c r="AA678" s="104"/>
    </row>
    <row r="679">
      <c r="B679" s="104"/>
      <c r="C679" s="105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  <c r="AA679" s="104"/>
    </row>
    <row r="680">
      <c r="B680" s="104"/>
      <c r="C680" s="105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  <c r="AA680" s="104"/>
    </row>
    <row r="681">
      <c r="B681" s="104"/>
      <c r="C681" s="105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  <c r="AA681" s="104"/>
    </row>
    <row r="682">
      <c r="B682" s="104"/>
      <c r="C682" s="105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  <c r="AA682" s="104"/>
    </row>
    <row r="683">
      <c r="B683" s="104"/>
      <c r="C683" s="105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  <c r="AA683" s="104"/>
    </row>
    <row r="684">
      <c r="B684" s="104"/>
      <c r="C684" s="105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  <c r="AA684" s="104"/>
    </row>
    <row r="685">
      <c r="B685" s="104"/>
      <c r="C685" s="105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  <c r="AA685" s="104"/>
    </row>
    <row r="686">
      <c r="B686" s="104"/>
      <c r="C686" s="105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  <c r="AA686" s="104"/>
    </row>
    <row r="687">
      <c r="B687" s="104"/>
      <c r="C687" s="105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  <c r="AA687" s="104"/>
    </row>
    <row r="688">
      <c r="B688" s="104"/>
      <c r="C688" s="105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  <c r="AA688" s="104"/>
    </row>
    <row r="689">
      <c r="B689" s="104"/>
      <c r="C689" s="105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  <c r="AA689" s="104"/>
    </row>
    <row r="690">
      <c r="B690" s="104"/>
      <c r="C690" s="105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  <c r="AA690" s="104"/>
    </row>
    <row r="691">
      <c r="B691" s="104"/>
      <c r="C691" s="105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  <c r="AA691" s="104"/>
    </row>
    <row r="692">
      <c r="B692" s="104"/>
      <c r="C692" s="105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  <c r="AA692" s="104"/>
    </row>
    <row r="693">
      <c r="B693" s="104"/>
      <c r="C693" s="105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  <c r="AA693" s="104"/>
    </row>
    <row r="694">
      <c r="B694" s="104"/>
      <c r="C694" s="105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  <c r="AA694" s="104"/>
    </row>
    <row r="695">
      <c r="B695" s="104"/>
      <c r="C695" s="105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  <c r="AA695" s="104"/>
    </row>
    <row r="696">
      <c r="B696" s="104"/>
      <c r="C696" s="105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  <c r="AA696" s="104"/>
    </row>
    <row r="697">
      <c r="B697" s="104"/>
      <c r="C697" s="105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  <c r="AA697" s="104"/>
    </row>
    <row r="698">
      <c r="B698" s="104"/>
      <c r="C698" s="105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  <c r="AA698" s="104"/>
    </row>
    <row r="699">
      <c r="B699" s="104"/>
      <c r="C699" s="105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  <c r="AA699" s="104"/>
    </row>
    <row r="700">
      <c r="B700" s="104"/>
      <c r="C700" s="105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  <c r="AA700" s="104"/>
    </row>
    <row r="701">
      <c r="B701" s="104"/>
      <c r="C701" s="105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  <c r="AA701" s="104"/>
    </row>
    <row r="702">
      <c r="B702" s="104"/>
      <c r="C702" s="105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  <c r="AA702" s="104"/>
    </row>
    <row r="703">
      <c r="B703" s="104"/>
      <c r="C703" s="105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  <c r="AA703" s="104"/>
    </row>
    <row r="704">
      <c r="B704" s="104"/>
      <c r="C704" s="105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  <c r="AA704" s="104"/>
    </row>
    <row r="705">
      <c r="B705" s="104"/>
      <c r="C705" s="105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  <c r="AA705" s="104"/>
    </row>
    <row r="706">
      <c r="B706" s="104"/>
      <c r="C706" s="105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  <c r="AA706" s="104"/>
    </row>
    <row r="707">
      <c r="B707" s="104"/>
      <c r="C707" s="105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  <c r="AA707" s="104"/>
    </row>
    <row r="708">
      <c r="B708" s="104"/>
      <c r="C708" s="105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  <c r="AA708" s="104"/>
    </row>
    <row r="709">
      <c r="B709" s="104"/>
      <c r="C709" s="105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  <c r="AA709" s="104"/>
    </row>
    <row r="710">
      <c r="B710" s="104"/>
      <c r="C710" s="105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  <c r="AA710" s="104"/>
    </row>
    <row r="711">
      <c r="B711" s="104"/>
      <c r="C711" s="105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  <c r="AA711" s="104"/>
    </row>
    <row r="712">
      <c r="B712" s="104"/>
      <c r="C712" s="105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  <c r="AA712" s="104"/>
    </row>
    <row r="713">
      <c r="B713" s="104"/>
      <c r="C713" s="105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  <c r="AA713" s="104"/>
    </row>
    <row r="714">
      <c r="B714" s="104"/>
      <c r="C714" s="105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  <c r="AA714" s="104"/>
    </row>
    <row r="715">
      <c r="B715" s="104"/>
      <c r="C715" s="105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  <c r="AA715" s="104"/>
    </row>
    <row r="716">
      <c r="B716" s="104"/>
      <c r="C716" s="105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  <c r="AA716" s="104"/>
    </row>
    <row r="717">
      <c r="B717" s="104"/>
      <c r="C717" s="105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  <c r="AA717" s="104"/>
    </row>
    <row r="718">
      <c r="B718" s="104"/>
      <c r="C718" s="105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  <c r="AA718" s="104"/>
    </row>
    <row r="719">
      <c r="B719" s="104"/>
      <c r="C719" s="105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  <c r="AA719" s="104"/>
    </row>
    <row r="720">
      <c r="B720" s="104"/>
      <c r="C720" s="105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  <c r="AA720" s="104"/>
    </row>
    <row r="721">
      <c r="B721" s="104"/>
      <c r="C721" s="105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  <c r="AA721" s="104"/>
    </row>
    <row r="722">
      <c r="B722" s="104"/>
      <c r="C722" s="105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  <c r="AA722" s="104"/>
    </row>
    <row r="723">
      <c r="B723" s="104"/>
      <c r="C723" s="105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  <c r="AA723" s="104"/>
    </row>
    <row r="724">
      <c r="B724" s="104"/>
      <c r="C724" s="105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  <c r="AA724" s="104"/>
    </row>
    <row r="725">
      <c r="B725" s="104"/>
      <c r="C725" s="105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  <c r="AA725" s="104"/>
    </row>
    <row r="726">
      <c r="B726" s="104"/>
      <c r="C726" s="105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  <c r="AA726" s="104"/>
    </row>
    <row r="727">
      <c r="B727" s="104"/>
      <c r="C727" s="105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  <c r="AA727" s="104"/>
    </row>
    <row r="728">
      <c r="B728" s="104"/>
      <c r="C728" s="105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  <c r="AA728" s="104"/>
    </row>
    <row r="729">
      <c r="B729" s="104"/>
      <c r="C729" s="105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  <c r="AA729" s="104"/>
    </row>
    <row r="730">
      <c r="B730" s="104"/>
      <c r="C730" s="105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  <c r="AA730" s="104"/>
    </row>
    <row r="731">
      <c r="B731" s="104"/>
      <c r="C731" s="105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  <c r="AA731" s="104"/>
    </row>
    <row r="732">
      <c r="B732" s="104"/>
      <c r="C732" s="105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  <c r="AA732" s="104"/>
    </row>
    <row r="733">
      <c r="B733" s="104"/>
      <c r="C733" s="105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  <c r="AA733" s="104"/>
    </row>
    <row r="734">
      <c r="B734" s="104"/>
      <c r="C734" s="105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  <c r="AA734" s="104"/>
    </row>
    <row r="735">
      <c r="B735" s="104"/>
      <c r="C735" s="105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  <c r="AA735" s="104"/>
    </row>
    <row r="736">
      <c r="B736" s="104"/>
      <c r="C736" s="105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  <c r="AA736" s="104"/>
    </row>
    <row r="737">
      <c r="B737" s="104"/>
      <c r="C737" s="105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  <c r="AA737" s="104"/>
    </row>
    <row r="738">
      <c r="B738" s="104"/>
      <c r="C738" s="105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  <c r="AA738" s="104"/>
    </row>
    <row r="739">
      <c r="B739" s="104"/>
      <c r="C739" s="105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  <c r="AA739" s="104"/>
    </row>
    <row r="740">
      <c r="B740" s="104"/>
      <c r="C740" s="105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  <c r="AA740" s="104"/>
    </row>
    <row r="741">
      <c r="B741" s="104"/>
      <c r="C741" s="105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  <c r="AA741" s="104"/>
    </row>
    <row r="742">
      <c r="B742" s="104"/>
      <c r="C742" s="105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  <c r="AA742" s="104"/>
    </row>
    <row r="743">
      <c r="B743" s="104"/>
      <c r="C743" s="105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  <c r="AA743" s="104"/>
    </row>
    <row r="744">
      <c r="B744" s="104"/>
      <c r="C744" s="105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  <c r="AA744" s="104"/>
    </row>
    <row r="745">
      <c r="B745" s="104"/>
      <c r="C745" s="105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  <c r="AA745" s="104"/>
    </row>
    <row r="746">
      <c r="B746" s="104"/>
      <c r="C746" s="105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  <c r="AA746" s="104"/>
    </row>
    <row r="747">
      <c r="B747" s="104"/>
      <c r="C747" s="105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  <c r="AA747" s="104"/>
    </row>
    <row r="748">
      <c r="B748" s="104"/>
      <c r="C748" s="105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  <c r="AA748" s="104"/>
    </row>
    <row r="749">
      <c r="B749" s="104"/>
      <c r="C749" s="105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  <c r="AA749" s="104"/>
    </row>
    <row r="750">
      <c r="B750" s="104"/>
      <c r="C750" s="105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  <c r="AA750" s="104"/>
    </row>
    <row r="751">
      <c r="B751" s="104"/>
      <c r="C751" s="105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  <c r="AA751" s="104"/>
    </row>
    <row r="752">
      <c r="B752" s="104"/>
      <c r="C752" s="105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  <c r="AA752" s="104"/>
    </row>
    <row r="753">
      <c r="B753" s="104"/>
      <c r="C753" s="105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  <c r="AA753" s="104"/>
    </row>
    <row r="754">
      <c r="B754" s="104"/>
      <c r="C754" s="105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  <c r="AA754" s="104"/>
    </row>
    <row r="755">
      <c r="B755" s="104"/>
      <c r="C755" s="105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  <c r="AA755" s="104"/>
    </row>
    <row r="756">
      <c r="B756" s="104"/>
      <c r="C756" s="105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  <c r="AA756" s="104"/>
    </row>
    <row r="757">
      <c r="B757" s="104"/>
      <c r="C757" s="105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  <c r="AA757" s="104"/>
    </row>
    <row r="758">
      <c r="B758" s="104"/>
      <c r="C758" s="105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  <c r="AA758" s="104"/>
    </row>
    <row r="759">
      <c r="B759" s="104"/>
      <c r="C759" s="105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  <c r="AA759" s="104"/>
    </row>
    <row r="760">
      <c r="B760" s="104"/>
      <c r="C760" s="105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  <c r="AA760" s="104"/>
    </row>
    <row r="761">
      <c r="B761" s="104"/>
      <c r="C761" s="105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  <c r="AA761" s="104"/>
    </row>
    <row r="762">
      <c r="B762" s="104"/>
      <c r="C762" s="105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  <c r="AA762" s="104"/>
    </row>
    <row r="763">
      <c r="B763" s="104"/>
      <c r="C763" s="105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  <c r="AA763" s="104"/>
    </row>
    <row r="764">
      <c r="B764" s="104"/>
      <c r="C764" s="105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  <c r="AA764" s="104"/>
    </row>
    <row r="765">
      <c r="B765" s="104"/>
      <c r="C765" s="105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  <c r="AA765" s="104"/>
    </row>
    <row r="766">
      <c r="B766" s="104"/>
      <c r="C766" s="105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  <c r="AA766" s="104"/>
    </row>
    <row r="767">
      <c r="B767" s="104"/>
      <c r="C767" s="105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  <c r="AA767" s="104"/>
    </row>
    <row r="768">
      <c r="B768" s="104"/>
      <c r="C768" s="105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  <c r="AA768" s="104"/>
    </row>
    <row r="769">
      <c r="B769" s="104"/>
      <c r="C769" s="105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  <c r="AA769" s="104"/>
    </row>
    <row r="770">
      <c r="B770" s="104"/>
      <c r="C770" s="105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  <c r="AA770" s="104"/>
    </row>
    <row r="771">
      <c r="B771" s="104"/>
      <c r="C771" s="105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  <c r="AA771" s="104"/>
    </row>
    <row r="772">
      <c r="B772" s="104"/>
      <c r="C772" s="105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  <c r="AA772" s="104"/>
    </row>
    <row r="773">
      <c r="B773" s="104"/>
      <c r="C773" s="105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  <c r="AA773" s="104"/>
    </row>
    <row r="774">
      <c r="B774" s="104"/>
      <c r="C774" s="105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  <c r="AA774" s="104"/>
    </row>
    <row r="775">
      <c r="B775" s="104"/>
      <c r="C775" s="105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  <c r="AA775" s="104"/>
    </row>
    <row r="776">
      <c r="B776" s="104"/>
      <c r="C776" s="105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  <c r="AA776" s="104"/>
    </row>
    <row r="777">
      <c r="B777" s="104"/>
      <c r="C777" s="105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  <c r="AA777" s="104"/>
    </row>
    <row r="778">
      <c r="B778" s="104"/>
      <c r="C778" s="105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  <c r="AA778" s="104"/>
    </row>
    <row r="779">
      <c r="B779" s="104"/>
      <c r="C779" s="105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  <c r="AA779" s="104"/>
    </row>
    <row r="780">
      <c r="B780" s="104"/>
      <c r="C780" s="105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  <c r="AA780" s="104"/>
    </row>
    <row r="781">
      <c r="B781" s="104"/>
      <c r="C781" s="105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  <c r="AA781" s="104"/>
    </row>
    <row r="782">
      <c r="B782" s="104"/>
      <c r="C782" s="105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  <c r="AA782" s="104"/>
    </row>
    <row r="783">
      <c r="B783" s="104"/>
      <c r="C783" s="105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  <c r="AA783" s="104"/>
    </row>
    <row r="784">
      <c r="B784" s="104"/>
      <c r="C784" s="105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  <c r="AA784" s="104"/>
    </row>
    <row r="785">
      <c r="B785" s="104"/>
      <c r="C785" s="105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  <c r="AA785" s="104"/>
    </row>
    <row r="786">
      <c r="B786" s="104"/>
      <c r="C786" s="105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  <c r="AA786" s="104"/>
    </row>
    <row r="787">
      <c r="B787" s="104"/>
      <c r="C787" s="105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  <c r="AA787" s="104"/>
    </row>
    <row r="788">
      <c r="B788" s="104"/>
      <c r="C788" s="105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  <c r="AA788" s="104"/>
    </row>
    <row r="789">
      <c r="B789" s="104"/>
      <c r="C789" s="105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  <c r="AA789" s="104"/>
    </row>
    <row r="790">
      <c r="B790" s="104"/>
      <c r="C790" s="105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  <c r="AA790" s="104"/>
    </row>
    <row r="791">
      <c r="B791" s="104"/>
      <c r="C791" s="105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  <c r="AA791" s="104"/>
    </row>
    <row r="792">
      <c r="B792" s="104"/>
      <c r="C792" s="105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  <c r="AA792" s="104"/>
    </row>
    <row r="793">
      <c r="B793" s="104"/>
      <c r="C793" s="105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  <c r="AA793" s="104"/>
    </row>
    <row r="794">
      <c r="B794" s="104"/>
      <c r="C794" s="105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  <c r="AA794" s="104"/>
    </row>
    <row r="795">
      <c r="B795" s="104"/>
      <c r="C795" s="105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  <c r="AA795" s="104"/>
    </row>
    <row r="796">
      <c r="B796" s="104"/>
      <c r="C796" s="105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  <c r="AA796" s="104"/>
    </row>
    <row r="797">
      <c r="B797" s="104"/>
      <c r="C797" s="105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  <c r="AA797" s="104"/>
    </row>
    <row r="798">
      <c r="B798" s="104"/>
      <c r="C798" s="105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  <c r="AA798" s="104"/>
    </row>
    <row r="799">
      <c r="B799" s="104"/>
      <c r="C799" s="105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</row>
    <row r="800">
      <c r="B800" s="104"/>
      <c r="C800" s="105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  <c r="AA800" s="104"/>
    </row>
    <row r="801">
      <c r="B801" s="104"/>
      <c r="C801" s="105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  <c r="AA801" s="104"/>
    </row>
    <row r="802">
      <c r="B802" s="104"/>
      <c r="C802" s="105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  <c r="AA802" s="104"/>
    </row>
    <row r="803">
      <c r="B803" s="104"/>
      <c r="C803" s="105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  <c r="AA803" s="104"/>
    </row>
    <row r="804">
      <c r="B804" s="104"/>
      <c r="C804" s="105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  <c r="AA804" s="104"/>
    </row>
    <row r="805">
      <c r="B805" s="104"/>
      <c r="C805" s="105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  <c r="AA805" s="104"/>
    </row>
    <row r="806">
      <c r="B806" s="104"/>
      <c r="C806" s="105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  <c r="AA806" s="104"/>
    </row>
    <row r="807">
      <c r="B807" s="104"/>
      <c r="C807" s="105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  <c r="AA807" s="104"/>
    </row>
    <row r="808">
      <c r="B808" s="104"/>
      <c r="C808" s="105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  <c r="AA808" s="104"/>
    </row>
    <row r="809">
      <c r="B809" s="104"/>
      <c r="C809" s="105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  <c r="AA809" s="104"/>
    </row>
    <row r="810">
      <c r="B810" s="104"/>
      <c r="C810" s="105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  <c r="AA810" s="104"/>
    </row>
    <row r="811">
      <c r="B811" s="104"/>
      <c r="C811" s="105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  <c r="AA811" s="104"/>
    </row>
    <row r="812">
      <c r="B812" s="104"/>
      <c r="C812" s="105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  <c r="AA812" s="104"/>
    </row>
    <row r="813">
      <c r="B813" s="104"/>
      <c r="C813" s="105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  <c r="AA813" s="104"/>
    </row>
    <row r="814">
      <c r="B814" s="104"/>
      <c r="C814" s="105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  <c r="AA814" s="104"/>
    </row>
    <row r="815">
      <c r="B815" s="104"/>
      <c r="C815" s="105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  <c r="AA815" s="104"/>
    </row>
    <row r="816">
      <c r="B816" s="104"/>
      <c r="C816" s="105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  <c r="AA816" s="104"/>
    </row>
    <row r="817">
      <c r="B817" s="104"/>
      <c r="C817" s="105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  <c r="AA817" s="104"/>
    </row>
    <row r="818">
      <c r="B818" s="104"/>
      <c r="C818" s="105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  <c r="AA818" s="104"/>
    </row>
    <row r="819">
      <c r="B819" s="104"/>
      <c r="C819" s="105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  <c r="AA819" s="104"/>
    </row>
    <row r="820">
      <c r="B820" s="104"/>
      <c r="C820" s="105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  <c r="AA820" s="104"/>
    </row>
    <row r="821">
      <c r="B821" s="104"/>
      <c r="C821" s="105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  <c r="AA821" s="104"/>
    </row>
    <row r="822">
      <c r="B822" s="104"/>
      <c r="C822" s="105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  <c r="AA822" s="104"/>
    </row>
    <row r="823">
      <c r="B823" s="104"/>
      <c r="C823" s="105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  <c r="AA823" s="104"/>
    </row>
    <row r="824">
      <c r="B824" s="104"/>
      <c r="C824" s="105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  <c r="AA824" s="104"/>
    </row>
    <row r="825">
      <c r="B825" s="104"/>
      <c r="C825" s="105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  <c r="AA825" s="104"/>
    </row>
    <row r="826">
      <c r="B826" s="104"/>
      <c r="C826" s="105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  <c r="AA826" s="104"/>
    </row>
    <row r="827">
      <c r="B827" s="104"/>
      <c r="C827" s="105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  <c r="AA827" s="104"/>
    </row>
    <row r="828">
      <c r="B828" s="104"/>
      <c r="C828" s="105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  <c r="AA828" s="104"/>
    </row>
    <row r="829">
      <c r="B829" s="104"/>
      <c r="C829" s="105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  <c r="AA829" s="104"/>
    </row>
    <row r="830">
      <c r="B830" s="104"/>
      <c r="C830" s="105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  <c r="AA830" s="104"/>
    </row>
    <row r="831">
      <c r="B831" s="104"/>
      <c r="C831" s="105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  <c r="AA831" s="104"/>
    </row>
    <row r="832">
      <c r="B832" s="104"/>
      <c r="C832" s="105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  <c r="AA832" s="104"/>
    </row>
    <row r="833">
      <c r="B833" s="104"/>
      <c r="C833" s="105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  <c r="AA833" s="104"/>
    </row>
    <row r="834">
      <c r="B834" s="104"/>
      <c r="C834" s="105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  <c r="AA834" s="104"/>
    </row>
    <row r="835">
      <c r="B835" s="104"/>
      <c r="C835" s="105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  <c r="AA835" s="104"/>
    </row>
    <row r="836">
      <c r="B836" s="104"/>
      <c r="C836" s="105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  <c r="AA836" s="104"/>
    </row>
    <row r="837">
      <c r="B837" s="104"/>
      <c r="C837" s="105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  <c r="AA837" s="104"/>
    </row>
    <row r="838">
      <c r="B838" s="104"/>
      <c r="C838" s="105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  <c r="AA838" s="104"/>
    </row>
    <row r="839">
      <c r="B839" s="104"/>
      <c r="C839" s="105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  <c r="AA839" s="104"/>
    </row>
    <row r="840">
      <c r="B840" s="104"/>
      <c r="C840" s="105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  <c r="AA840" s="104"/>
    </row>
    <row r="841">
      <c r="B841" s="104"/>
      <c r="C841" s="105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  <c r="AA841" s="104"/>
    </row>
    <row r="842">
      <c r="B842" s="104"/>
      <c r="C842" s="105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  <c r="AA842" s="104"/>
    </row>
    <row r="843">
      <c r="B843" s="104"/>
      <c r="C843" s="105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  <c r="AA843" s="104"/>
    </row>
    <row r="844">
      <c r="B844" s="104"/>
      <c r="C844" s="105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  <c r="AA844" s="104"/>
    </row>
    <row r="845">
      <c r="B845" s="104"/>
      <c r="C845" s="105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  <c r="AA845" s="104"/>
    </row>
    <row r="846">
      <c r="B846" s="104"/>
      <c r="C846" s="105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  <c r="AA846" s="104"/>
    </row>
    <row r="847">
      <c r="B847" s="104"/>
      <c r="C847" s="105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  <c r="AA847" s="104"/>
    </row>
    <row r="848">
      <c r="B848" s="104"/>
      <c r="C848" s="105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  <c r="AA848" s="104"/>
    </row>
    <row r="849">
      <c r="B849" s="104"/>
      <c r="C849" s="105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  <c r="AA849" s="104"/>
    </row>
    <row r="850">
      <c r="B850" s="104"/>
      <c r="C850" s="105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  <c r="AA850" s="104"/>
    </row>
    <row r="851">
      <c r="B851" s="104"/>
      <c r="C851" s="105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  <c r="AA851" s="104"/>
    </row>
    <row r="852">
      <c r="B852" s="104"/>
      <c r="C852" s="105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  <c r="AA852" s="104"/>
    </row>
    <row r="853">
      <c r="B853" s="104"/>
      <c r="C853" s="105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  <c r="AA853" s="104"/>
    </row>
    <row r="854">
      <c r="B854" s="104"/>
      <c r="C854" s="105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  <c r="AA854" s="104"/>
    </row>
    <row r="855">
      <c r="B855" s="104"/>
      <c r="C855" s="105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  <c r="AA855" s="104"/>
    </row>
    <row r="856">
      <c r="B856" s="104"/>
      <c r="C856" s="105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  <c r="AA856" s="104"/>
    </row>
    <row r="857">
      <c r="B857" s="104"/>
      <c r="C857" s="105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  <c r="AA857" s="104"/>
    </row>
    <row r="858">
      <c r="B858" s="104"/>
      <c r="C858" s="105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  <c r="AA858" s="104"/>
    </row>
    <row r="859">
      <c r="B859" s="104"/>
      <c r="C859" s="105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  <c r="AA859" s="104"/>
    </row>
    <row r="860">
      <c r="B860" s="104"/>
      <c r="C860" s="105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  <c r="AA860" s="104"/>
    </row>
    <row r="861">
      <c r="B861" s="104"/>
      <c r="C861" s="105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  <c r="AA861" s="104"/>
    </row>
    <row r="862">
      <c r="B862" s="104"/>
      <c r="C862" s="105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  <c r="AA862" s="104"/>
    </row>
    <row r="863">
      <c r="B863" s="104"/>
      <c r="C863" s="105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  <c r="AA863" s="104"/>
    </row>
    <row r="864">
      <c r="B864" s="104"/>
      <c r="C864" s="105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  <c r="AA864" s="104"/>
    </row>
    <row r="865">
      <c r="B865" s="104"/>
      <c r="C865" s="105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  <c r="AA865" s="104"/>
    </row>
    <row r="866">
      <c r="B866" s="104"/>
      <c r="C866" s="105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  <c r="AA866" s="104"/>
    </row>
    <row r="867">
      <c r="B867" s="104"/>
      <c r="C867" s="105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  <c r="AA867" s="104"/>
    </row>
    <row r="868">
      <c r="B868" s="104"/>
      <c r="C868" s="105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  <c r="AA868" s="104"/>
    </row>
    <row r="869">
      <c r="B869" s="104"/>
      <c r="C869" s="105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  <c r="AA869" s="104"/>
    </row>
    <row r="870">
      <c r="B870" s="104"/>
      <c r="C870" s="105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  <c r="AA870" s="104"/>
    </row>
    <row r="871">
      <c r="B871" s="104"/>
      <c r="C871" s="105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  <c r="AA871" s="104"/>
    </row>
    <row r="872">
      <c r="B872" s="104"/>
      <c r="C872" s="105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  <c r="AA872" s="104"/>
    </row>
    <row r="873">
      <c r="B873" s="104"/>
      <c r="C873" s="105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  <c r="AA873" s="104"/>
    </row>
    <row r="874">
      <c r="B874" s="104"/>
      <c r="C874" s="105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  <c r="AA874" s="104"/>
    </row>
    <row r="875">
      <c r="B875" s="104"/>
      <c r="C875" s="105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  <c r="AA875" s="104"/>
    </row>
    <row r="876">
      <c r="B876" s="104"/>
      <c r="C876" s="105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  <c r="AA876" s="104"/>
    </row>
    <row r="877">
      <c r="B877" s="104"/>
      <c r="C877" s="105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  <c r="AA877" s="104"/>
    </row>
    <row r="878">
      <c r="B878" s="104"/>
      <c r="C878" s="105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  <c r="AA878" s="104"/>
    </row>
    <row r="879">
      <c r="B879" s="104"/>
      <c r="C879" s="105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  <c r="AA879" s="104"/>
    </row>
    <row r="880">
      <c r="B880" s="104"/>
      <c r="C880" s="105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  <c r="AA880" s="104"/>
    </row>
    <row r="881">
      <c r="B881" s="104"/>
      <c r="C881" s="105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  <c r="AA881" s="104"/>
    </row>
    <row r="882">
      <c r="B882" s="104"/>
      <c r="C882" s="105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  <c r="AA882" s="104"/>
    </row>
    <row r="883">
      <c r="B883" s="104"/>
      <c r="C883" s="105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  <c r="AA883" s="104"/>
    </row>
    <row r="884">
      <c r="B884" s="104"/>
      <c r="C884" s="105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  <c r="AA884" s="104"/>
    </row>
    <row r="885">
      <c r="B885" s="104"/>
      <c r="C885" s="105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  <c r="AA885" s="104"/>
    </row>
    <row r="886">
      <c r="B886" s="104"/>
      <c r="C886" s="105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  <c r="AA886" s="104"/>
    </row>
    <row r="887">
      <c r="B887" s="104"/>
      <c r="C887" s="105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  <c r="AA887" s="104"/>
    </row>
    <row r="888">
      <c r="B888" s="104"/>
      <c r="C888" s="105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  <c r="AA888" s="104"/>
    </row>
    <row r="889">
      <c r="B889" s="104"/>
      <c r="C889" s="105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  <c r="AA889" s="104"/>
    </row>
    <row r="890">
      <c r="B890" s="104"/>
      <c r="C890" s="105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  <c r="AA890" s="104"/>
    </row>
    <row r="891">
      <c r="B891" s="104"/>
      <c r="C891" s="105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  <c r="AA891" s="104"/>
    </row>
    <row r="892">
      <c r="B892" s="104"/>
      <c r="C892" s="105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  <c r="AA892" s="104"/>
    </row>
    <row r="893">
      <c r="B893" s="104"/>
      <c r="C893" s="105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  <c r="AA893" s="104"/>
    </row>
    <row r="894">
      <c r="B894" s="104"/>
      <c r="C894" s="105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  <c r="AA894" s="104"/>
    </row>
    <row r="895">
      <c r="B895" s="104"/>
      <c r="C895" s="105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  <c r="AA895" s="104"/>
    </row>
    <row r="896">
      <c r="B896" s="104"/>
      <c r="C896" s="105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  <c r="AA896" s="104"/>
    </row>
    <row r="897">
      <c r="B897" s="104"/>
      <c r="C897" s="105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  <c r="AA897" s="104"/>
    </row>
    <row r="898">
      <c r="B898" s="104"/>
      <c r="C898" s="105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  <c r="AA898" s="104"/>
    </row>
    <row r="899">
      <c r="B899" s="104"/>
      <c r="C899" s="105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  <c r="AA899" s="104"/>
    </row>
    <row r="900">
      <c r="B900" s="104"/>
      <c r="C900" s="105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  <c r="AA900" s="104"/>
    </row>
    <row r="901">
      <c r="B901" s="104"/>
      <c r="C901" s="105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  <c r="AA901" s="104"/>
    </row>
    <row r="902">
      <c r="B902" s="104"/>
      <c r="C902" s="105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  <c r="AA902" s="104"/>
    </row>
    <row r="903">
      <c r="B903" s="104"/>
      <c r="C903" s="105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  <c r="AA903" s="104"/>
    </row>
    <row r="904">
      <c r="B904" s="104"/>
      <c r="C904" s="105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  <c r="AA904" s="104"/>
    </row>
    <row r="905">
      <c r="B905" s="104"/>
      <c r="C905" s="105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  <c r="AA905" s="104"/>
    </row>
    <row r="906">
      <c r="B906" s="104"/>
      <c r="C906" s="105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  <c r="AA906" s="104"/>
    </row>
    <row r="907">
      <c r="B907" s="104"/>
      <c r="C907" s="105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  <c r="AA907" s="104"/>
    </row>
    <row r="908">
      <c r="B908" s="104"/>
      <c r="C908" s="105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  <c r="AA908" s="104"/>
    </row>
    <row r="909">
      <c r="B909" s="104"/>
      <c r="C909" s="105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  <c r="AA909" s="104"/>
    </row>
    <row r="910">
      <c r="B910" s="104"/>
      <c r="C910" s="105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  <c r="AA910" s="104"/>
    </row>
    <row r="911">
      <c r="B911" s="104"/>
      <c r="C911" s="105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  <c r="AA911" s="104"/>
    </row>
    <row r="912">
      <c r="B912" s="104"/>
      <c r="C912" s="105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  <c r="AA912" s="104"/>
    </row>
    <row r="913">
      <c r="B913" s="104"/>
      <c r="C913" s="105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  <c r="AA913" s="104"/>
    </row>
    <row r="914">
      <c r="B914" s="104"/>
      <c r="C914" s="105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  <c r="AA914" s="104"/>
    </row>
    <row r="915">
      <c r="B915" s="104"/>
      <c r="C915" s="105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  <c r="AA915" s="104"/>
    </row>
    <row r="916">
      <c r="B916" s="104"/>
      <c r="C916" s="105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  <c r="AA916" s="104"/>
    </row>
    <row r="917">
      <c r="B917" s="104"/>
      <c r="C917" s="105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  <c r="AA917" s="104"/>
    </row>
    <row r="918">
      <c r="B918" s="104"/>
      <c r="C918" s="105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  <c r="AA918" s="104"/>
    </row>
    <row r="919">
      <c r="B919" s="104"/>
      <c r="C919" s="105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  <c r="AA919" s="104"/>
    </row>
    <row r="920">
      <c r="B920" s="104"/>
      <c r="C920" s="105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  <c r="AA920" s="104"/>
    </row>
    <row r="921">
      <c r="B921" s="104"/>
      <c r="C921" s="105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  <c r="AA921" s="104"/>
    </row>
    <row r="922">
      <c r="B922" s="104"/>
      <c r="C922" s="105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  <c r="AA922" s="104"/>
    </row>
    <row r="923">
      <c r="B923" s="104"/>
      <c r="C923" s="105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  <c r="AA923" s="104"/>
    </row>
    <row r="924">
      <c r="B924" s="104"/>
      <c r="C924" s="105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  <c r="AA924" s="104"/>
    </row>
    <row r="925">
      <c r="B925" s="104"/>
      <c r="C925" s="105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  <c r="AA925" s="104"/>
    </row>
    <row r="926">
      <c r="B926" s="104"/>
      <c r="C926" s="105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  <c r="AA926" s="104"/>
    </row>
    <row r="927">
      <c r="B927" s="104"/>
      <c r="C927" s="105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  <c r="AA927" s="104"/>
    </row>
    <row r="928">
      <c r="B928" s="104"/>
      <c r="C928" s="105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  <c r="AA928" s="104"/>
    </row>
    <row r="929">
      <c r="B929" s="104"/>
      <c r="C929" s="105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  <c r="AA929" s="104"/>
    </row>
    <row r="930">
      <c r="B930" s="104"/>
      <c r="C930" s="105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  <c r="AA930" s="104"/>
    </row>
    <row r="931">
      <c r="B931" s="104"/>
      <c r="C931" s="105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  <c r="AA931" s="104"/>
    </row>
    <row r="932">
      <c r="B932" s="104"/>
      <c r="C932" s="105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  <c r="AA932" s="104"/>
    </row>
    <row r="933">
      <c r="B933" s="104"/>
      <c r="C933" s="105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  <c r="AA933" s="104"/>
    </row>
    <row r="934">
      <c r="B934" s="104"/>
      <c r="C934" s="105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  <c r="AA934" s="104"/>
    </row>
    <row r="935">
      <c r="B935" s="104"/>
      <c r="C935" s="105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  <c r="AA935" s="104"/>
    </row>
    <row r="936">
      <c r="B936" s="104"/>
      <c r="C936" s="105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  <c r="AA936" s="104"/>
    </row>
    <row r="937">
      <c r="B937" s="104"/>
      <c r="C937" s="105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  <c r="AA937" s="104"/>
    </row>
    <row r="938">
      <c r="B938" s="104"/>
      <c r="C938" s="105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  <c r="AA938" s="104"/>
    </row>
    <row r="939">
      <c r="B939" s="104"/>
      <c r="C939" s="105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  <c r="AA939" s="104"/>
    </row>
    <row r="940">
      <c r="B940" s="104"/>
      <c r="C940" s="105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  <c r="AA940" s="104"/>
    </row>
    <row r="941">
      <c r="B941" s="104"/>
      <c r="C941" s="105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  <c r="AA941" s="104"/>
    </row>
    <row r="942">
      <c r="B942" s="104"/>
      <c r="C942" s="105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  <c r="AA942" s="104"/>
    </row>
    <row r="943">
      <c r="B943" s="104"/>
      <c r="C943" s="105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  <c r="AA943" s="104"/>
    </row>
    <row r="944">
      <c r="B944" s="104"/>
      <c r="C944" s="105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  <c r="AA944" s="104"/>
    </row>
    <row r="945">
      <c r="B945" s="104"/>
      <c r="C945" s="105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  <c r="AA945" s="104"/>
    </row>
    <row r="946">
      <c r="B946" s="104"/>
      <c r="C946" s="105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  <c r="AA946" s="104"/>
    </row>
    <row r="947">
      <c r="B947" s="104"/>
      <c r="C947" s="105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  <c r="AA947" s="104"/>
    </row>
    <row r="948">
      <c r="B948" s="104"/>
      <c r="C948" s="105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  <c r="AA948" s="104"/>
    </row>
    <row r="949">
      <c r="B949" s="104"/>
      <c r="C949" s="105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  <c r="AA949" s="104"/>
    </row>
    <row r="950">
      <c r="B950" s="104"/>
      <c r="C950" s="105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  <c r="AA950" s="104"/>
    </row>
    <row r="951">
      <c r="B951" s="104"/>
      <c r="C951" s="105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  <c r="AA951" s="104"/>
    </row>
    <row r="952">
      <c r="B952" s="104"/>
      <c r="C952" s="105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  <c r="AA952" s="104"/>
    </row>
    <row r="953">
      <c r="B953" s="104"/>
      <c r="C953" s="105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  <c r="AA953" s="104"/>
    </row>
    <row r="954">
      <c r="B954" s="104"/>
      <c r="C954" s="105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  <c r="AA954" s="104"/>
    </row>
    <row r="955">
      <c r="B955" s="104"/>
      <c r="C955" s="105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  <c r="AA955" s="104"/>
    </row>
    <row r="956">
      <c r="B956" s="104"/>
      <c r="C956" s="105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  <c r="AA956" s="104"/>
    </row>
    <row r="957">
      <c r="B957" s="104"/>
      <c r="C957" s="105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  <c r="AA957" s="104"/>
    </row>
    <row r="958">
      <c r="B958" s="104"/>
      <c r="C958" s="105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  <c r="AA958" s="104"/>
    </row>
    <row r="959">
      <c r="B959" s="104"/>
      <c r="C959" s="105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  <c r="AA959" s="104"/>
    </row>
    <row r="960">
      <c r="B960" s="104"/>
      <c r="C960" s="105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  <c r="AA960" s="104"/>
    </row>
    <row r="961">
      <c r="B961" s="104"/>
      <c r="C961" s="105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  <c r="AA961" s="104"/>
    </row>
    <row r="962">
      <c r="B962" s="104"/>
      <c r="C962" s="105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  <c r="AA962" s="104"/>
    </row>
    <row r="963">
      <c r="B963" s="104"/>
      <c r="C963" s="105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  <c r="AA963" s="104"/>
    </row>
    <row r="964">
      <c r="B964" s="104"/>
      <c r="C964" s="105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  <c r="AA964" s="104"/>
    </row>
    <row r="965">
      <c r="B965" s="104"/>
      <c r="C965" s="105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  <c r="AA965" s="104"/>
    </row>
    <row r="966">
      <c r="B966" s="104"/>
      <c r="C966" s="105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  <c r="AA966" s="104"/>
    </row>
    <row r="967">
      <c r="B967" s="104"/>
      <c r="C967" s="105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  <c r="AA967" s="104"/>
    </row>
    <row r="968">
      <c r="B968" s="104"/>
      <c r="C968" s="105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  <c r="AA968" s="104"/>
    </row>
    <row r="969">
      <c r="B969" s="104"/>
      <c r="C969" s="105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  <c r="AA969" s="104"/>
    </row>
    <row r="970">
      <c r="B970" s="104"/>
      <c r="C970" s="105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  <c r="AA970" s="104"/>
    </row>
    <row r="971">
      <c r="B971" s="104"/>
      <c r="C971" s="105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  <c r="AA971" s="104"/>
    </row>
    <row r="972">
      <c r="B972" s="104"/>
      <c r="C972" s="105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  <c r="AA972" s="104"/>
    </row>
    <row r="973">
      <c r="B973" s="104"/>
      <c r="C973" s="105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  <c r="AA973" s="104"/>
    </row>
    <row r="974">
      <c r="B974" s="104"/>
      <c r="C974" s="105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  <c r="AA974" s="104"/>
    </row>
    <row r="975">
      <c r="B975" s="104"/>
      <c r="C975" s="105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  <c r="AA975" s="104"/>
    </row>
    <row r="976">
      <c r="B976" s="104"/>
      <c r="C976" s="105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  <c r="AA976" s="104"/>
    </row>
    <row r="977">
      <c r="B977" s="104"/>
      <c r="C977" s="105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  <c r="AA977" s="104"/>
    </row>
    <row r="978">
      <c r="B978" s="104"/>
      <c r="C978" s="105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  <c r="AA978" s="104"/>
    </row>
    <row r="979">
      <c r="B979" s="104"/>
      <c r="C979" s="105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  <c r="AA979" s="104"/>
    </row>
    <row r="980">
      <c r="B980" s="104"/>
      <c r="C980" s="105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  <c r="AA980" s="104"/>
    </row>
    <row r="981">
      <c r="B981" s="104"/>
      <c r="C981" s="105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  <c r="AA981" s="104"/>
    </row>
    <row r="982">
      <c r="B982" s="104"/>
      <c r="C982" s="105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  <c r="AA982" s="104"/>
    </row>
    <row r="983">
      <c r="B983" s="104"/>
      <c r="C983" s="105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  <c r="AA983" s="104"/>
    </row>
    <row r="984">
      <c r="B984" s="104"/>
      <c r="C984" s="105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  <c r="AA984" s="104"/>
    </row>
    <row r="985">
      <c r="B985" s="104"/>
      <c r="C985" s="105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  <c r="AA985" s="104"/>
    </row>
    <row r="986">
      <c r="B986" s="104"/>
      <c r="C986" s="105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  <c r="AA986" s="104"/>
    </row>
    <row r="987">
      <c r="B987" s="104"/>
      <c r="C987" s="105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  <c r="AA987" s="104"/>
    </row>
    <row r="988">
      <c r="B988" s="104"/>
      <c r="C988" s="105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  <c r="AA988" s="104"/>
    </row>
    <row r="989">
      <c r="B989" s="104"/>
      <c r="C989" s="105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  <c r="AA989" s="104"/>
    </row>
    <row r="990">
      <c r="B990" s="104"/>
      <c r="C990" s="105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  <c r="AA990" s="104"/>
    </row>
    <row r="991">
      <c r="B991" s="104"/>
      <c r="C991" s="105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  <c r="AA991" s="104"/>
    </row>
    <row r="992">
      <c r="B992" s="104"/>
      <c r="C992" s="105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  <c r="AA992" s="104"/>
    </row>
    <row r="993">
      <c r="B993" s="104"/>
      <c r="C993" s="105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  <c r="AA993" s="104"/>
    </row>
    <row r="994">
      <c r="B994" s="104"/>
      <c r="C994" s="105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  <c r="AA994" s="104"/>
    </row>
    <row r="995">
      <c r="B995" s="104"/>
      <c r="C995" s="105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  <c r="AA995" s="104"/>
    </row>
    <row r="996">
      <c r="B996" s="104"/>
      <c r="C996" s="105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  <c r="AA996" s="104"/>
    </row>
    <row r="997">
      <c r="B997" s="104"/>
      <c r="C997" s="105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  <c r="AA997" s="104"/>
    </row>
    <row r="998">
      <c r="B998" s="104"/>
      <c r="C998" s="105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  <c r="AA998" s="104"/>
    </row>
    <row r="999">
      <c r="B999" s="104"/>
      <c r="C999" s="105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  <c r="AA999" s="104"/>
    </row>
    <row r="1000">
      <c r="B1000" s="104"/>
      <c r="C1000" s="105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  <c r="AA1000" s="104"/>
    </row>
  </sheetData>
  <mergeCells count="1">
    <mergeCell ref="B1:C1"/>
  </mergeCells>
  <dataValidations>
    <dataValidation type="list" allowBlank="1" showErrorMessage="1" sqref="B1">
      <formula1>"Geral"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0.38"/>
    <col customWidth="1" min="2" max="2" width="17.25"/>
    <col customWidth="1" min="3" max="3" width="5.75"/>
    <col customWidth="1" min="4" max="4" width="17.25"/>
    <col customWidth="1" min="5" max="5" width="7.38"/>
    <col customWidth="1" min="6" max="6" width="20.38"/>
    <col customWidth="1" min="7" max="7" width="8.25"/>
    <col customWidth="1" min="8" max="8" width="18.88"/>
    <col customWidth="1" min="9" max="9" width="16.13"/>
    <col customWidth="1" min="10" max="10" width="62.0"/>
  </cols>
  <sheetData>
    <row r="1" ht="1.5" customHeight="1">
      <c r="A1" s="111"/>
      <c r="B1" s="111"/>
      <c r="C1" s="111"/>
      <c r="D1" s="111"/>
      <c r="E1" s="111"/>
      <c r="F1" s="111"/>
      <c r="G1" s="111"/>
      <c r="H1" s="44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>
      <c r="A2" s="111"/>
      <c r="B2" s="50" t="s">
        <v>43</v>
      </c>
      <c r="C2" s="112"/>
      <c r="D2" s="113" t="s">
        <v>84</v>
      </c>
      <c r="E2" s="111"/>
      <c r="F2" s="114" t="s">
        <v>85</v>
      </c>
      <c r="G2" s="111"/>
      <c r="H2" s="115" t="s">
        <v>86</v>
      </c>
      <c r="I2" s="116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ht="48.0" customHeight="1">
      <c r="A3" s="111"/>
      <c r="B3" s="57">
        <f>COUNTIFS('REGISTRO UNIFICADO'!A4:A1000, "&lt;&gt;", 'REGISTRO UNIFICADO'!A4:A1000, "&lt;&gt;Duplicado")</f>
        <v>0</v>
      </c>
      <c r="C3" s="117"/>
      <c r="D3" s="64">
        <f>IFERROR(__xludf.DUMMYFUNCTION("SUMPRODUCT(REGEXMATCH('REGISTRO UNIFICADO'!T4:T1000, ""Crianças|Adolescentes|Idosos"") * ('REGISTRO UNIFICADO'!A4:A1000 &lt;&gt; ""Duplicado""))"),0.0)</f>
        <v>0</v>
      </c>
      <c r="E3" s="48"/>
      <c r="F3" s="118">
        <f>COUNTIFS('REGISTRO UNIFICADO'!U:U, "Sim", 'REGISTRO UNIFICADO'!A:A, "&lt;&gt;Duplicado")</f>
        <v>0</v>
      </c>
      <c r="G3" s="48"/>
      <c r="H3" s="119">
        <f>COUNTIFS('REGISTRO UNIFICADO'!AC4:AC1000, "&lt;&gt;", 'REGISTRO UNIFICADO'!A4:A1000, "&lt;&gt;Duplicado")</f>
        <v>0</v>
      </c>
      <c r="I3" s="12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>
      <c r="A4" s="87"/>
      <c r="B4" s="87"/>
      <c r="C4" s="87"/>
      <c r="D4" s="87"/>
      <c r="E4" s="87"/>
      <c r="F4" s="87"/>
      <c r="G4" s="87"/>
      <c r="H4" s="121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87"/>
      <c r="B5" s="87"/>
      <c r="C5" s="87"/>
      <c r="D5" s="87"/>
      <c r="E5" s="87"/>
      <c r="F5" s="87"/>
      <c r="G5" s="87"/>
      <c r="H5" s="121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</row>
    <row r="6">
      <c r="A6" s="87"/>
      <c r="B6" s="87"/>
      <c r="C6" s="87"/>
      <c r="D6" s="87"/>
      <c r="E6" s="87"/>
      <c r="F6" s="87"/>
      <c r="G6" s="87"/>
      <c r="H6" s="121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</row>
    <row r="7">
      <c r="A7" s="87"/>
      <c r="B7" s="87"/>
      <c r="C7" s="87"/>
      <c r="D7" s="87"/>
      <c r="E7" s="87"/>
      <c r="F7" s="87"/>
      <c r="G7" s="87"/>
      <c r="H7" s="121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</row>
    <row r="8">
      <c r="A8" s="87"/>
      <c r="B8" s="87"/>
      <c r="C8" s="87"/>
      <c r="D8" s="87"/>
      <c r="E8" s="87"/>
      <c r="F8" s="87"/>
      <c r="G8" s="87"/>
      <c r="H8" s="121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</row>
    <row r="9">
      <c r="A9" s="87" t="str">
        <f>IFERROR(__xludf.DUMMYFUNCTION("QUERY('REGISTRO UNIFICADO'!A4:BB1000, 
  ""SELECT B, COUNT(A) 
   WHERE AA IS NOT NULL AND A &lt;&gt; 'Duplicado'
   GROUP BY B
   ORDER BY COUNT(A) DESC 
   LABEL B 'Área', COUNT(A) 'Planos de Ação'"", 
0)"),"Área")</f>
        <v>Área</v>
      </c>
      <c r="B9" s="87" t="str">
        <f>IFERROR(__xludf.DUMMYFUNCTION("""COMPUTED_VALUE"""),"Planos de Ação")</f>
        <v>Planos de Ação</v>
      </c>
      <c r="C9" s="87"/>
      <c r="D9" s="87"/>
      <c r="E9" s="87"/>
      <c r="F9" s="87" t="str">
        <f>IFERROR(__xludf.DUMMYFUNCTION("QUERY(
  {
   'REGISTRO UNIFICADO'!A4:A1000 , 
   ARRAYFORMULA(IF('REGISTRO UNIFICADO'!Q4:Q1000="""", ""Não Preenchido"", 'REGISTRO UNIFICADO'!Q4:Q1000))
  }, 
  ""SELECT Col2, COUNT(Col1) 
   WHERE Col1 IS NOT NULL AND Col1 &lt;&gt; 'Duplicado'
   GROUP BY Col"&amp;"2 
   ORDER BY COUNT(Col1) DESC 
   LABEL Col2 'Base Legal', COUNT(Col1) 'Qtd'"", 
0)"),"Base Legal")</f>
        <v>Base Legal</v>
      </c>
      <c r="G9" s="87" t="str">
        <f>IFERROR(__xludf.DUMMYFUNCTION("""COMPUTED_VALUE"""),"Qtd")</f>
        <v>Qtd</v>
      </c>
      <c r="H9" s="89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</row>
    <row r="10">
      <c r="A10" s="87"/>
      <c r="B10" s="87"/>
      <c r="C10" s="87"/>
      <c r="D10" s="87"/>
      <c r="E10" s="87"/>
      <c r="F10" s="87"/>
      <c r="G10" s="87"/>
      <c r="H10" s="89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</row>
    <row r="11">
      <c r="A11" s="87"/>
      <c r="B11" s="87"/>
      <c r="C11" s="87"/>
      <c r="D11" s="87"/>
      <c r="E11" s="87"/>
      <c r="F11" s="87"/>
      <c r="G11" s="87"/>
      <c r="H11" s="89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</row>
    <row r="12">
      <c r="A12" s="87"/>
      <c r="B12" s="87"/>
      <c r="C12" s="87"/>
      <c r="D12" s="87"/>
      <c r="E12" s="87"/>
      <c r="F12" s="87"/>
      <c r="G12" s="87"/>
      <c r="H12" s="89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</row>
    <row r="13">
      <c r="A13" s="87"/>
      <c r="B13" s="87"/>
      <c r="C13" s="87"/>
      <c r="D13" s="87"/>
      <c r="E13" s="87"/>
      <c r="F13" s="87"/>
      <c r="G13" s="87"/>
      <c r="H13" s="89"/>
      <c r="I13" s="87"/>
      <c r="J13" s="87"/>
      <c r="K13" s="87"/>
      <c r="L13" s="87" t="s">
        <v>80</v>
      </c>
      <c r="M13" s="89" t="s">
        <v>75</v>
      </c>
      <c r="N13" s="93" t="s">
        <v>43</v>
      </c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</row>
    <row r="14">
      <c r="A14" s="87"/>
      <c r="B14" s="87"/>
      <c r="C14" s="87"/>
      <c r="D14" s="87"/>
      <c r="E14" s="87"/>
      <c r="F14" s="87"/>
      <c r="G14" s="87"/>
      <c r="H14" s="89"/>
      <c r="I14" s="87"/>
      <c r="J14" s="87"/>
      <c r="K14" s="87"/>
      <c r="L14" s="87" t="s">
        <v>81</v>
      </c>
      <c r="M14" s="89">
        <f>COUNTIF('REGISTRO UNIFICADO'!T:T, "*Crianças*")</f>
        <v>0</v>
      </c>
      <c r="N14" s="122">
        <f>B3</f>
        <v>0</v>
      </c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</row>
    <row r="15">
      <c r="A15" s="87"/>
      <c r="B15" s="87"/>
      <c r="C15" s="87"/>
      <c r="D15" s="87"/>
      <c r="E15" s="87"/>
      <c r="F15" s="87"/>
      <c r="G15" s="87"/>
      <c r="H15" s="89"/>
      <c r="I15" s="87"/>
      <c r="J15" s="87"/>
      <c r="K15" s="87"/>
      <c r="L15" s="87" t="s">
        <v>82</v>
      </c>
      <c r="M15" s="89">
        <f>COUNTIF('REGISTRO UNIFICADO'!T:T, "*Adolescentes*")</f>
        <v>0</v>
      </c>
      <c r="N15" s="122">
        <f>B3</f>
        <v>0</v>
      </c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</row>
    <row r="16">
      <c r="A16" s="87"/>
      <c r="B16" s="87"/>
      <c r="C16" s="87"/>
      <c r="D16" s="87"/>
      <c r="E16" s="87"/>
      <c r="F16" s="87"/>
      <c r="G16" s="87"/>
      <c r="H16" s="89"/>
      <c r="I16" s="87"/>
      <c r="J16" s="87"/>
      <c r="K16" s="87"/>
      <c r="L16" s="87" t="s">
        <v>83</v>
      </c>
      <c r="M16" s="89">
        <f>COUNTIF('REGISTRO UNIFICADO'!T:T, "*Idosos*")</f>
        <v>0</v>
      </c>
      <c r="N16" s="122">
        <f>B3</f>
        <v>0</v>
      </c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</row>
    <row r="17">
      <c r="A17" s="87"/>
      <c r="B17" s="87"/>
      <c r="C17" s="87"/>
      <c r="D17" s="87"/>
      <c r="E17" s="87"/>
      <c r="F17" s="87"/>
      <c r="G17" s="87"/>
      <c r="H17" s="89"/>
      <c r="I17" s="87"/>
      <c r="J17" s="87"/>
      <c r="K17" s="87"/>
      <c r="L17" s="93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</row>
    <row r="18">
      <c r="A18" s="87" t="str">
        <f>IFERROR(__xludf.DUMMYFUNCTION("QUERY('REGISTRO UNIFICADO'!A4:BB1000, ""SELECT R, COUNT(A) WHERE A IS NOT NULL AND A &lt;&gt; 'Duplicado' GROUP BY R"", 0)"),"")</f>
        <v/>
      </c>
      <c r="B18" s="87" t="str">
        <f>IFERROR(__xludf.DUMMYFUNCTION("""COMPUTED_VALUE"""),"count ")</f>
        <v>count </v>
      </c>
      <c r="C18" s="87"/>
      <c r="D18" s="87"/>
      <c r="E18" s="87"/>
      <c r="F18" s="87" t="str">
        <f>IFERROR(__xludf.DUMMYFUNCTION("QUERY('REGISTRO UNIFICADO'!A4:BB1000, 
  ""SELECT Y, COUNT(A) 
   WHERE A IS NOT NULL AND Y IS NOT NULL AND A &lt;&gt; 'Duplicado'
   GROUP BY Y 
   ORDER BY COUNT(A) DESC 
   LABEL Y 'Risco', COUNT(A) 'Qtd'"", 
0)"),"Risco")</f>
        <v>Risco</v>
      </c>
      <c r="G18" s="87" t="str">
        <f>IFERROR(__xludf.DUMMYFUNCTION("""COMPUTED_VALUE"""),"Qtd")</f>
        <v>Qtd</v>
      </c>
      <c r="H18" s="89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</row>
    <row r="19">
      <c r="A19" s="87"/>
      <c r="B19" s="87"/>
      <c r="C19" s="87"/>
      <c r="D19" s="87"/>
      <c r="E19" s="87"/>
      <c r="F19" s="87"/>
      <c r="G19" s="87"/>
      <c r="H19" s="89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</row>
    <row r="20">
      <c r="A20" s="87"/>
      <c r="B20" s="87"/>
      <c r="C20" s="87"/>
      <c r="D20" s="87"/>
      <c r="E20" s="87"/>
      <c r="F20" s="87"/>
      <c r="G20" s="87"/>
      <c r="H20" s="89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</row>
    <row r="21">
      <c r="A21" s="87"/>
      <c r="B21" s="87"/>
      <c r="C21" s="87"/>
      <c r="D21" s="87"/>
      <c r="E21" s="87"/>
      <c r="F21" s="87"/>
      <c r="G21" s="87"/>
      <c r="H21" s="89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</row>
    <row r="22">
      <c r="A22" s="104"/>
      <c r="B22" s="104"/>
      <c r="C22" s="104"/>
      <c r="D22" s="104"/>
      <c r="E22" s="104"/>
      <c r="F22" s="104"/>
      <c r="G22" s="104"/>
      <c r="H22" s="89" t="str">
        <f>IFERROR(__xludf.DUMMYFUNCTION("{
  QUERY(
    {
     'REGISTRO UNIFICADO'!A4:A1000 , 
     ARRAYFORMULA(IF('REGISTRO UNIFICADO'!Q4:Q1000="""", ""Não Preenchido"", 'REGISTRO UNIFICADO'!Q4:Q1000))
    }, 
    ""SELECT Col2, COUNT(Col1) 
     WHERE Col1 IS NOT NULL AND Col1 &lt;&gt; 'Duplicado'"&amp;"
     GROUP BY Col2 
     ORDER BY COUNT(Col1) DESC 
     LABEL Col2 'Base Legal', COUNT(Col1) 'Quantidade'"", 
  0);
  {""TOTAL"" , COUNTIFS('REGISTRO UNIFICADO'!A4:A1000, ""&lt;&gt;"", 'REGISTRO UNIFICADO'!A4:A1000, ""&lt;&gt;Duplicado"")}
}"),"Base Legal")</f>
        <v>Base Legal</v>
      </c>
      <c r="I22" s="87" t="str">
        <f>IFERROR(__xludf.DUMMYFUNCTION("""COMPUTED_VALUE"""),"Quantidade")</f>
        <v>Quantidade</v>
      </c>
      <c r="J22" s="87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</row>
    <row r="23">
      <c r="A23" s="104"/>
      <c r="B23" s="104"/>
      <c r="C23" s="104"/>
      <c r="D23" s="104"/>
      <c r="E23" s="104"/>
      <c r="F23" s="104"/>
      <c r="G23" s="104"/>
      <c r="H23" s="89" t="str">
        <f>IFERROR(__xludf.DUMMYFUNCTION("""COMPUTED_VALUE"""),"TOTAL")</f>
        <v>TOTAL</v>
      </c>
      <c r="I23" s="123">
        <f>IFERROR(__xludf.DUMMYFUNCTION("""COMPUTED_VALUE"""),0.0)</f>
        <v>0</v>
      </c>
      <c r="J23" s="87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</row>
    <row r="24">
      <c r="A24" s="104"/>
      <c r="B24" s="104"/>
      <c r="C24" s="104"/>
      <c r="D24" s="104"/>
      <c r="E24" s="104"/>
      <c r="F24" s="104"/>
      <c r="G24" s="104"/>
      <c r="H24" s="89"/>
      <c r="I24" s="123"/>
      <c r="J24" s="87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</row>
    <row r="25">
      <c r="A25" s="104"/>
      <c r="B25" s="104"/>
      <c r="C25" s="104"/>
      <c r="D25" s="104"/>
      <c r="E25" s="104"/>
      <c r="F25" s="104"/>
      <c r="G25" s="104"/>
      <c r="H25" s="89"/>
      <c r="I25" s="123"/>
      <c r="J25" s="87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</row>
    <row r="26">
      <c r="A26" s="104"/>
      <c r="B26" s="104"/>
      <c r="C26" s="104"/>
      <c r="D26" s="104"/>
      <c r="E26" s="104"/>
      <c r="F26" s="104"/>
      <c r="G26" s="104"/>
      <c r="H26" s="89"/>
      <c r="I26" s="123"/>
      <c r="J26" s="87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</row>
    <row r="27">
      <c r="A27" s="104"/>
      <c r="B27" s="104"/>
      <c r="C27" s="104"/>
      <c r="D27" s="104"/>
      <c r="E27" s="104"/>
      <c r="F27" s="104"/>
      <c r="G27" s="104"/>
      <c r="H27" s="89"/>
      <c r="I27" s="123"/>
      <c r="J27" s="87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</row>
    <row r="28">
      <c r="A28" s="104"/>
      <c r="B28" s="104"/>
      <c r="C28" s="104"/>
      <c r="D28" s="104"/>
      <c r="E28" s="104"/>
      <c r="F28" s="104"/>
      <c r="G28" s="104"/>
      <c r="H28" s="89"/>
      <c r="I28" s="123"/>
      <c r="J28" s="87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</row>
    <row r="29">
      <c r="A29" s="104"/>
      <c r="B29" s="104"/>
      <c r="C29" s="104"/>
      <c r="D29" s="104"/>
      <c r="E29" s="104"/>
      <c r="F29" s="104"/>
      <c r="G29" s="104"/>
      <c r="H29" s="89"/>
      <c r="I29" s="123"/>
      <c r="J29" s="87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</row>
    <row r="30">
      <c r="A30" s="104"/>
      <c r="B30" s="104"/>
      <c r="C30" s="104"/>
      <c r="D30" s="104"/>
      <c r="E30" s="104"/>
      <c r="F30" s="104"/>
      <c r="G30" s="104"/>
      <c r="H30" s="124"/>
      <c r="I30" s="125"/>
      <c r="J30" s="87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</row>
    <row r="31">
      <c r="A31" s="104"/>
      <c r="B31" s="104"/>
      <c r="C31" s="104"/>
      <c r="D31" s="104"/>
      <c r="E31" s="104"/>
      <c r="F31" s="104"/>
      <c r="G31" s="126"/>
      <c r="H31" s="89"/>
      <c r="I31" s="87"/>
      <c r="J31" s="87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</row>
    <row r="32">
      <c r="A32" s="104"/>
      <c r="B32" s="104"/>
      <c r="C32" s="104"/>
      <c r="D32" s="104"/>
      <c r="E32" s="104"/>
      <c r="F32" s="104"/>
      <c r="G32" s="104"/>
      <c r="H32" s="89"/>
      <c r="I32" s="87"/>
      <c r="J32" s="87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</row>
    <row r="33">
      <c r="A33" s="104"/>
      <c r="B33" s="104"/>
      <c r="C33" s="104"/>
      <c r="D33" s="104"/>
      <c r="E33" s="104"/>
      <c r="F33" s="104"/>
      <c r="G33" s="104"/>
      <c r="H33" s="89"/>
      <c r="I33" s="87"/>
      <c r="J33" s="87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</row>
    <row r="34">
      <c r="A34" s="104"/>
      <c r="B34" s="104"/>
      <c r="C34" s="104"/>
      <c r="D34" s="104"/>
      <c r="E34" s="104"/>
      <c r="F34" s="104"/>
      <c r="G34" s="104"/>
      <c r="H34" s="105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</row>
    <row r="35">
      <c r="A35" s="104"/>
      <c r="B35" s="104"/>
      <c r="C35" s="104"/>
      <c r="D35" s="104"/>
      <c r="E35" s="104"/>
      <c r="F35" s="104"/>
      <c r="G35" s="104"/>
      <c r="H35" s="105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</row>
    <row r="36">
      <c r="A36" s="104"/>
      <c r="B36" s="104"/>
      <c r="C36" s="104"/>
      <c r="D36" s="104"/>
      <c r="E36" s="104"/>
      <c r="F36" s="104"/>
      <c r="G36" s="104"/>
      <c r="H36" s="105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</row>
    <row r="37">
      <c r="A37" s="104"/>
      <c r="B37" s="104"/>
      <c r="C37" s="104"/>
      <c r="D37" s="104"/>
      <c r="E37" s="104"/>
      <c r="F37" s="104"/>
      <c r="G37" s="104"/>
      <c r="H37" s="105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</row>
    <row r="38">
      <c r="A38" s="104"/>
      <c r="B38" s="104"/>
      <c r="C38" s="104"/>
      <c r="D38" s="104"/>
      <c r="E38" s="104"/>
      <c r="F38" s="104"/>
      <c r="G38" s="104"/>
      <c r="H38" s="105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</row>
    <row r="39">
      <c r="A39" s="104"/>
      <c r="B39" s="104"/>
      <c r="C39" s="104"/>
      <c r="D39" s="104"/>
      <c r="E39" s="104"/>
      <c r="F39" s="104"/>
      <c r="G39" s="104"/>
      <c r="H39" s="105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</row>
    <row r="40">
      <c r="A40" s="104"/>
      <c r="B40" s="104"/>
      <c r="C40" s="104"/>
      <c r="D40" s="104"/>
      <c r="E40" s="104"/>
      <c r="F40" s="104"/>
      <c r="G40" s="104"/>
      <c r="H40" s="105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</row>
    <row r="41">
      <c r="A41" s="104"/>
      <c r="B41" s="104"/>
      <c r="C41" s="104"/>
      <c r="D41" s="104"/>
      <c r="E41" s="104"/>
      <c r="F41" s="104"/>
      <c r="G41" s="104"/>
      <c r="H41" s="105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</row>
    <row r="42">
      <c r="A42" s="104"/>
      <c r="B42" s="104"/>
      <c r="C42" s="104"/>
      <c r="D42" s="104"/>
      <c r="E42" s="104"/>
      <c r="F42" s="104"/>
      <c r="G42" s="104"/>
      <c r="H42" s="105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</row>
    <row r="43">
      <c r="A43" s="104"/>
      <c r="B43" s="104"/>
      <c r="C43" s="104"/>
      <c r="D43" s="104"/>
      <c r="E43" s="104"/>
      <c r="F43" s="104"/>
      <c r="G43" s="104"/>
      <c r="H43" s="105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</row>
    <row r="44">
      <c r="A44" s="104"/>
      <c r="B44" s="104"/>
      <c r="C44" s="104"/>
      <c r="D44" s="104"/>
      <c r="E44" s="104"/>
      <c r="F44" s="104"/>
      <c r="G44" s="104"/>
      <c r="H44" s="105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</row>
    <row r="45">
      <c r="A45" s="104"/>
      <c r="B45" s="104"/>
      <c r="C45" s="104"/>
      <c r="D45" s="104"/>
      <c r="E45" s="104"/>
      <c r="F45" s="104"/>
      <c r="G45" s="104"/>
      <c r="H45" s="105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</row>
    <row r="46">
      <c r="A46" s="104"/>
      <c r="B46" s="104"/>
      <c r="C46" s="104"/>
      <c r="D46" s="104"/>
      <c r="E46" s="104"/>
      <c r="F46" s="104"/>
      <c r="G46" s="104"/>
      <c r="H46" s="105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104"/>
      <c r="AC46" s="104"/>
    </row>
    <row r="47">
      <c r="A47" s="104"/>
      <c r="B47" s="104"/>
      <c r="C47" s="104"/>
      <c r="D47" s="104"/>
      <c r="E47" s="104"/>
      <c r="F47" s="104"/>
      <c r="G47" s="104"/>
      <c r="H47" s="105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  <c r="AA47" s="104"/>
      <c r="AB47" s="104"/>
      <c r="AC47" s="104"/>
    </row>
    <row r="48">
      <c r="A48" s="104"/>
      <c r="B48" s="104"/>
      <c r="C48" s="104"/>
      <c r="D48" s="104"/>
      <c r="E48" s="104"/>
      <c r="F48" s="104"/>
      <c r="G48" s="104"/>
      <c r="H48" s="105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</row>
    <row r="49">
      <c r="A49" s="104"/>
      <c r="B49" s="104"/>
      <c r="C49" s="104"/>
      <c r="D49" s="104"/>
      <c r="E49" s="104"/>
      <c r="F49" s="104"/>
      <c r="G49" s="104"/>
      <c r="H49" s="105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  <c r="AB49" s="104"/>
      <c r="AC49" s="104"/>
    </row>
    <row r="50">
      <c r="A50" s="104"/>
      <c r="B50" s="104"/>
      <c r="C50" s="104"/>
      <c r="D50" s="104"/>
      <c r="E50" s="104"/>
      <c r="F50" s="104"/>
      <c r="G50" s="104"/>
      <c r="H50" s="105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104"/>
      <c r="AB50" s="104"/>
      <c r="AC50" s="104"/>
    </row>
    <row r="51">
      <c r="A51" s="104"/>
      <c r="B51" s="104"/>
      <c r="C51" s="104"/>
      <c r="D51" s="104"/>
      <c r="E51" s="104"/>
      <c r="F51" s="104"/>
      <c r="G51" s="104"/>
      <c r="H51" s="105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</row>
    <row r="52">
      <c r="A52" s="104"/>
      <c r="B52" s="104"/>
      <c r="C52" s="104"/>
      <c r="D52" s="104"/>
      <c r="E52" s="104"/>
      <c r="F52" s="104"/>
      <c r="G52" s="104"/>
      <c r="H52" s="105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  <c r="AB52" s="104"/>
      <c r="AC52" s="104"/>
    </row>
    <row r="53">
      <c r="A53" s="104"/>
      <c r="B53" s="104"/>
      <c r="C53" s="104"/>
      <c r="D53" s="104"/>
      <c r="E53" s="104"/>
      <c r="F53" s="104"/>
      <c r="G53" s="104"/>
      <c r="H53" s="105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</row>
    <row r="54">
      <c r="A54" s="104"/>
      <c r="B54" s="104"/>
      <c r="C54" s="104"/>
      <c r="D54" s="104"/>
      <c r="E54" s="104"/>
      <c r="F54" s="104"/>
      <c r="G54" s="104"/>
      <c r="H54" s="105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</row>
    <row r="55">
      <c r="A55" s="104"/>
      <c r="B55" s="104"/>
      <c r="C55" s="104"/>
      <c r="D55" s="104"/>
      <c r="E55" s="104"/>
      <c r="F55" s="104"/>
      <c r="G55" s="104"/>
      <c r="H55" s="105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</row>
    <row r="56">
      <c r="A56" s="104"/>
      <c r="B56" s="104"/>
      <c r="C56" s="104"/>
      <c r="D56" s="104"/>
      <c r="E56" s="104"/>
      <c r="F56" s="104"/>
      <c r="G56" s="104"/>
      <c r="H56" s="105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</row>
    <row r="57">
      <c r="A57" s="104"/>
      <c r="B57" s="104"/>
      <c r="C57" s="104"/>
      <c r="D57" s="104"/>
      <c r="E57" s="104"/>
      <c r="F57" s="104"/>
      <c r="G57" s="104"/>
      <c r="H57" s="105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</row>
    <row r="58">
      <c r="A58" s="104"/>
      <c r="B58" s="104"/>
      <c r="C58" s="104"/>
      <c r="D58" s="104"/>
      <c r="E58" s="104"/>
      <c r="F58" s="104"/>
      <c r="G58" s="104"/>
      <c r="H58" s="105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</row>
    <row r="59">
      <c r="A59" s="104"/>
      <c r="B59" s="104"/>
      <c r="C59" s="104"/>
      <c r="D59" s="104"/>
      <c r="E59" s="104"/>
      <c r="F59" s="104"/>
      <c r="G59" s="104"/>
      <c r="H59" s="105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</row>
    <row r="60">
      <c r="A60" s="104"/>
      <c r="B60" s="104"/>
      <c r="C60" s="104"/>
      <c r="D60" s="104"/>
      <c r="E60" s="104"/>
      <c r="F60" s="104"/>
      <c r="G60" s="104"/>
      <c r="H60" s="105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</row>
    <row r="61">
      <c r="A61" s="104"/>
      <c r="B61" s="104"/>
      <c r="C61" s="104"/>
      <c r="D61" s="104"/>
      <c r="E61" s="104"/>
      <c r="F61" s="104"/>
      <c r="G61" s="104"/>
      <c r="H61" s="105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</row>
    <row r="62">
      <c r="A62" s="104"/>
      <c r="B62" s="104"/>
      <c r="C62" s="104"/>
      <c r="D62" s="104"/>
      <c r="E62" s="104"/>
      <c r="F62" s="104"/>
      <c r="G62" s="104"/>
      <c r="H62" s="105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</row>
    <row r="63">
      <c r="A63" s="104"/>
      <c r="B63" s="104"/>
      <c r="C63" s="104"/>
      <c r="D63" s="104"/>
      <c r="E63" s="104"/>
      <c r="F63" s="104"/>
      <c r="G63" s="104"/>
      <c r="H63" s="105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</row>
    <row r="64">
      <c r="A64" s="104"/>
      <c r="B64" s="104"/>
      <c r="C64" s="104"/>
      <c r="D64" s="104"/>
      <c r="E64" s="104"/>
      <c r="F64" s="104"/>
      <c r="G64" s="104"/>
      <c r="H64" s="105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</row>
    <row r="65">
      <c r="A65" s="104"/>
      <c r="B65" s="104"/>
      <c r="C65" s="104"/>
      <c r="D65" s="104"/>
      <c r="E65" s="104"/>
      <c r="F65" s="104"/>
      <c r="G65" s="104"/>
      <c r="H65" s="105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</row>
    <row r="66">
      <c r="A66" s="104"/>
      <c r="B66" s="104"/>
      <c r="C66" s="104"/>
      <c r="D66" s="104"/>
      <c r="E66" s="104"/>
      <c r="F66" s="104"/>
      <c r="G66" s="104"/>
      <c r="H66" s="105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</row>
    <row r="67">
      <c r="A67" s="104"/>
      <c r="B67" s="104"/>
      <c r="C67" s="104"/>
      <c r="D67" s="104"/>
      <c r="E67" s="104"/>
      <c r="F67" s="104"/>
      <c r="G67" s="104"/>
      <c r="H67" s="105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</row>
    <row r="68">
      <c r="A68" s="104"/>
      <c r="B68" s="104"/>
      <c r="C68" s="104"/>
      <c r="D68" s="104"/>
      <c r="E68" s="104"/>
      <c r="F68" s="104"/>
      <c r="G68" s="104"/>
      <c r="H68" s="105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</row>
    <row r="69">
      <c r="A69" s="104"/>
      <c r="B69" s="104"/>
      <c r="C69" s="104"/>
      <c r="D69" s="104"/>
      <c r="E69" s="104"/>
      <c r="F69" s="104"/>
      <c r="G69" s="104"/>
      <c r="H69" s="105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</row>
    <row r="70">
      <c r="A70" s="104"/>
      <c r="B70" s="104"/>
      <c r="C70" s="104"/>
      <c r="D70" s="104"/>
      <c r="E70" s="104"/>
      <c r="F70" s="104"/>
      <c r="G70" s="104"/>
      <c r="H70" s="105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</row>
    <row r="71">
      <c r="A71" s="104"/>
      <c r="B71" s="104"/>
      <c r="C71" s="104"/>
      <c r="D71" s="104"/>
      <c r="E71" s="104"/>
      <c r="F71" s="104"/>
      <c r="G71" s="104"/>
      <c r="H71" s="105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</row>
    <row r="72">
      <c r="A72" s="104"/>
      <c r="B72" s="104"/>
      <c r="C72" s="104"/>
      <c r="D72" s="104"/>
      <c r="E72" s="104"/>
      <c r="F72" s="104"/>
      <c r="G72" s="104"/>
      <c r="H72" s="105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</row>
    <row r="73">
      <c r="A73" s="104"/>
      <c r="B73" s="104"/>
      <c r="C73" s="104"/>
      <c r="D73" s="104"/>
      <c r="E73" s="104"/>
      <c r="F73" s="104"/>
      <c r="G73" s="104"/>
      <c r="H73" s="105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</row>
    <row r="74">
      <c r="A74" s="104"/>
      <c r="B74" s="104"/>
      <c r="C74" s="104"/>
      <c r="D74" s="104"/>
      <c r="E74" s="104"/>
      <c r="F74" s="104"/>
      <c r="G74" s="104"/>
      <c r="H74" s="105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</row>
    <row r="75">
      <c r="A75" s="104"/>
      <c r="B75" s="104"/>
      <c r="C75" s="104"/>
      <c r="D75" s="104"/>
      <c r="E75" s="104"/>
      <c r="F75" s="104"/>
      <c r="G75" s="104"/>
      <c r="H75" s="105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</row>
    <row r="76">
      <c r="A76" s="104"/>
      <c r="B76" s="104"/>
      <c r="C76" s="104"/>
      <c r="D76" s="104"/>
      <c r="E76" s="104"/>
      <c r="F76" s="104"/>
      <c r="G76" s="104"/>
      <c r="H76" s="105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</row>
    <row r="77">
      <c r="A77" s="104"/>
      <c r="B77" s="104"/>
      <c r="C77" s="104"/>
      <c r="D77" s="104"/>
      <c r="E77" s="104"/>
      <c r="F77" s="104"/>
      <c r="G77" s="104"/>
      <c r="H77" s="105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</row>
    <row r="78">
      <c r="A78" s="104"/>
      <c r="B78" s="104"/>
      <c r="C78" s="104"/>
      <c r="D78" s="104"/>
      <c r="E78" s="104"/>
      <c r="F78" s="104"/>
      <c r="G78" s="104"/>
      <c r="H78" s="105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</row>
    <row r="79">
      <c r="A79" s="104"/>
      <c r="B79" s="104"/>
      <c r="C79" s="104"/>
      <c r="D79" s="104"/>
      <c r="E79" s="104"/>
      <c r="F79" s="104"/>
      <c r="G79" s="104"/>
      <c r="H79" s="105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</row>
    <row r="80">
      <c r="A80" s="104"/>
      <c r="B80" s="104"/>
      <c r="C80" s="104"/>
      <c r="D80" s="104"/>
      <c r="E80" s="104"/>
      <c r="F80" s="104"/>
      <c r="G80" s="104"/>
      <c r="H80" s="105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</row>
    <row r="81">
      <c r="A81" s="104"/>
      <c r="B81" s="104"/>
      <c r="C81" s="104"/>
      <c r="D81" s="104"/>
      <c r="E81" s="104"/>
      <c r="F81" s="104"/>
      <c r="G81" s="104"/>
      <c r="H81" s="105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</row>
    <row r="82">
      <c r="A82" s="104"/>
      <c r="B82" s="104"/>
      <c r="C82" s="104"/>
      <c r="D82" s="104"/>
      <c r="E82" s="104"/>
      <c r="F82" s="104"/>
      <c r="G82" s="104"/>
      <c r="H82" s="105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</row>
    <row r="83">
      <c r="A83" s="104"/>
      <c r="B83" s="104"/>
      <c r="C83" s="104"/>
      <c r="D83" s="104"/>
      <c r="E83" s="104"/>
      <c r="F83" s="104"/>
      <c r="G83" s="104"/>
      <c r="H83" s="105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</row>
    <row r="84">
      <c r="A84" s="104"/>
      <c r="B84" s="104"/>
      <c r="C84" s="104"/>
      <c r="D84" s="104"/>
      <c r="E84" s="104"/>
      <c r="F84" s="104"/>
      <c r="G84" s="104"/>
      <c r="H84" s="105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</row>
    <row r="85">
      <c r="A85" s="104"/>
      <c r="B85" s="104"/>
      <c r="C85" s="104"/>
      <c r="D85" s="104"/>
      <c r="E85" s="104"/>
      <c r="F85" s="104"/>
      <c r="G85" s="104"/>
      <c r="H85" s="105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</row>
    <row r="86">
      <c r="A86" s="104"/>
      <c r="B86" s="104"/>
      <c r="C86" s="104"/>
      <c r="D86" s="104"/>
      <c r="E86" s="104"/>
      <c r="F86" s="104"/>
      <c r="G86" s="104"/>
      <c r="H86" s="105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</row>
    <row r="87">
      <c r="A87" s="104"/>
      <c r="B87" s="104"/>
      <c r="C87" s="104"/>
      <c r="D87" s="104"/>
      <c r="E87" s="104"/>
      <c r="F87" s="104"/>
      <c r="G87" s="104"/>
      <c r="H87" s="105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</row>
    <row r="88">
      <c r="A88" s="104"/>
      <c r="B88" s="104"/>
      <c r="C88" s="104"/>
      <c r="D88" s="104"/>
      <c r="E88" s="104"/>
      <c r="F88" s="104"/>
      <c r="G88" s="104"/>
      <c r="H88" s="105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</row>
    <row r="89">
      <c r="A89" s="104"/>
      <c r="B89" s="104"/>
      <c r="C89" s="104"/>
      <c r="D89" s="104"/>
      <c r="E89" s="104"/>
      <c r="F89" s="104"/>
      <c r="G89" s="104"/>
      <c r="H89" s="105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</row>
    <row r="90">
      <c r="A90" s="104"/>
      <c r="B90" s="104"/>
      <c r="C90" s="104"/>
      <c r="D90" s="104"/>
      <c r="E90" s="104"/>
      <c r="F90" s="104"/>
      <c r="G90" s="104"/>
      <c r="H90" s="105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</row>
    <row r="91">
      <c r="A91" s="104"/>
      <c r="B91" s="104"/>
      <c r="C91" s="104"/>
      <c r="D91" s="104"/>
      <c r="E91" s="104"/>
      <c r="F91" s="104"/>
      <c r="G91" s="104"/>
      <c r="H91" s="105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</row>
    <row r="92">
      <c r="A92" s="104"/>
      <c r="B92" s="104"/>
      <c r="C92" s="104"/>
      <c r="D92" s="104"/>
      <c r="E92" s="104"/>
      <c r="F92" s="104"/>
      <c r="G92" s="104"/>
      <c r="H92" s="105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</row>
    <row r="93">
      <c r="A93" s="104"/>
      <c r="B93" s="104"/>
      <c r="C93" s="104"/>
      <c r="D93" s="104"/>
      <c r="E93" s="104"/>
      <c r="F93" s="104"/>
      <c r="G93" s="104"/>
      <c r="H93" s="105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</row>
    <row r="94">
      <c r="A94" s="104"/>
      <c r="B94" s="104"/>
      <c r="C94" s="104"/>
      <c r="D94" s="104"/>
      <c r="E94" s="104"/>
      <c r="F94" s="104"/>
      <c r="G94" s="104"/>
      <c r="H94" s="105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</row>
    <row r="95">
      <c r="A95" s="104"/>
      <c r="B95" s="104"/>
      <c r="C95" s="104"/>
      <c r="D95" s="104"/>
      <c r="E95" s="104"/>
      <c r="F95" s="104"/>
      <c r="G95" s="104"/>
      <c r="H95" s="105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</row>
    <row r="96">
      <c r="A96" s="104"/>
      <c r="B96" s="104"/>
      <c r="C96" s="104"/>
      <c r="D96" s="104"/>
      <c r="E96" s="104"/>
      <c r="F96" s="104"/>
      <c r="G96" s="104"/>
      <c r="H96" s="105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</row>
    <row r="97">
      <c r="A97" s="104"/>
      <c r="B97" s="104"/>
      <c r="C97" s="104"/>
      <c r="D97" s="104"/>
      <c r="E97" s="104"/>
      <c r="F97" s="104"/>
      <c r="G97" s="104"/>
      <c r="H97" s="105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</row>
    <row r="98">
      <c r="A98" s="104"/>
      <c r="B98" s="104"/>
      <c r="C98" s="104"/>
      <c r="D98" s="104"/>
      <c r="E98" s="104"/>
      <c r="F98" s="104"/>
      <c r="G98" s="104"/>
      <c r="H98" s="105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</row>
    <row r="99">
      <c r="A99" s="104"/>
      <c r="B99" s="104"/>
      <c r="C99" s="104"/>
      <c r="D99" s="104"/>
      <c r="E99" s="104"/>
      <c r="F99" s="104"/>
      <c r="G99" s="104"/>
      <c r="H99" s="105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</row>
    <row r="100">
      <c r="A100" s="104"/>
      <c r="B100" s="104"/>
      <c r="C100" s="104"/>
      <c r="D100" s="104"/>
      <c r="E100" s="104"/>
      <c r="F100" s="104"/>
      <c r="G100" s="104"/>
      <c r="H100" s="105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</row>
    <row r="101">
      <c r="A101" s="104"/>
      <c r="B101" s="104"/>
      <c r="C101" s="104"/>
      <c r="D101" s="104"/>
      <c r="E101" s="104"/>
      <c r="F101" s="104"/>
      <c r="G101" s="104"/>
      <c r="H101" s="105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</row>
    <row r="102">
      <c r="A102" s="104"/>
      <c r="B102" s="104"/>
      <c r="C102" s="104"/>
      <c r="D102" s="104"/>
      <c r="E102" s="104"/>
      <c r="F102" s="104"/>
      <c r="G102" s="104"/>
      <c r="H102" s="105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</row>
    <row r="103">
      <c r="A103" s="104"/>
      <c r="B103" s="104"/>
      <c r="C103" s="104"/>
      <c r="D103" s="104"/>
      <c r="E103" s="104"/>
      <c r="F103" s="104"/>
      <c r="G103" s="104"/>
      <c r="H103" s="105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</row>
    <row r="104">
      <c r="A104" s="104"/>
      <c r="B104" s="104"/>
      <c r="C104" s="104"/>
      <c r="D104" s="104"/>
      <c r="E104" s="104"/>
      <c r="F104" s="104"/>
      <c r="G104" s="104"/>
      <c r="H104" s="105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</row>
    <row r="105">
      <c r="A105" s="104"/>
      <c r="B105" s="104"/>
      <c r="C105" s="104"/>
      <c r="D105" s="104"/>
      <c r="E105" s="104"/>
      <c r="F105" s="104"/>
      <c r="G105" s="104"/>
      <c r="H105" s="105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</row>
    <row r="106">
      <c r="A106" s="104"/>
      <c r="B106" s="104"/>
      <c r="C106" s="104"/>
      <c r="D106" s="104"/>
      <c r="E106" s="104"/>
      <c r="F106" s="104"/>
      <c r="G106" s="104"/>
      <c r="H106" s="105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</row>
    <row r="107">
      <c r="A107" s="104"/>
      <c r="B107" s="104"/>
      <c r="C107" s="104"/>
      <c r="D107" s="104"/>
      <c r="E107" s="104"/>
      <c r="F107" s="104"/>
      <c r="G107" s="104"/>
      <c r="H107" s="105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</row>
    <row r="108">
      <c r="A108" s="104"/>
      <c r="B108" s="104"/>
      <c r="C108" s="104"/>
      <c r="D108" s="104"/>
      <c r="E108" s="104"/>
      <c r="F108" s="104"/>
      <c r="G108" s="104"/>
      <c r="H108" s="105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</row>
    <row r="109">
      <c r="A109" s="104"/>
      <c r="B109" s="104"/>
      <c r="C109" s="104"/>
      <c r="D109" s="104"/>
      <c r="E109" s="104"/>
      <c r="F109" s="104"/>
      <c r="G109" s="104"/>
      <c r="H109" s="105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</row>
    <row r="110">
      <c r="A110" s="104"/>
      <c r="B110" s="104"/>
      <c r="C110" s="104"/>
      <c r="D110" s="104"/>
      <c r="E110" s="104"/>
      <c r="F110" s="104"/>
      <c r="G110" s="104"/>
      <c r="H110" s="105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</row>
    <row r="111">
      <c r="A111" s="104"/>
      <c r="B111" s="104"/>
      <c r="C111" s="104"/>
      <c r="D111" s="104"/>
      <c r="E111" s="104"/>
      <c r="F111" s="104"/>
      <c r="G111" s="104"/>
      <c r="H111" s="105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</row>
    <row r="112">
      <c r="A112" s="104"/>
      <c r="B112" s="104"/>
      <c r="C112" s="104"/>
      <c r="D112" s="104"/>
      <c r="E112" s="104"/>
      <c r="F112" s="104"/>
      <c r="G112" s="104"/>
      <c r="H112" s="105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</row>
    <row r="113">
      <c r="A113" s="104"/>
      <c r="B113" s="104"/>
      <c r="C113" s="104"/>
      <c r="D113" s="104"/>
      <c r="E113" s="104"/>
      <c r="F113" s="104"/>
      <c r="G113" s="104"/>
      <c r="H113" s="105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</row>
    <row r="114">
      <c r="A114" s="104"/>
      <c r="B114" s="104"/>
      <c r="C114" s="104"/>
      <c r="D114" s="104"/>
      <c r="E114" s="104"/>
      <c r="F114" s="104"/>
      <c r="G114" s="104"/>
      <c r="H114" s="105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</row>
    <row r="115">
      <c r="A115" s="104"/>
      <c r="B115" s="104"/>
      <c r="C115" s="104"/>
      <c r="D115" s="104"/>
      <c r="E115" s="104"/>
      <c r="F115" s="104"/>
      <c r="G115" s="104"/>
      <c r="H115" s="105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</row>
    <row r="116">
      <c r="A116" s="104"/>
      <c r="B116" s="104"/>
      <c r="C116" s="104"/>
      <c r="D116" s="104"/>
      <c r="E116" s="104"/>
      <c r="F116" s="104"/>
      <c r="G116" s="104"/>
      <c r="H116" s="105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</row>
    <row r="117">
      <c r="A117" s="104"/>
      <c r="B117" s="104"/>
      <c r="C117" s="104"/>
      <c r="D117" s="104"/>
      <c r="E117" s="104"/>
      <c r="F117" s="104"/>
      <c r="G117" s="104"/>
      <c r="H117" s="105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</row>
    <row r="118">
      <c r="A118" s="104"/>
      <c r="B118" s="104"/>
      <c r="C118" s="104"/>
      <c r="D118" s="104"/>
      <c r="E118" s="104"/>
      <c r="F118" s="104"/>
      <c r="G118" s="104"/>
      <c r="H118" s="105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</row>
    <row r="119">
      <c r="A119" s="104"/>
      <c r="B119" s="104"/>
      <c r="C119" s="104"/>
      <c r="D119" s="104"/>
      <c r="E119" s="104"/>
      <c r="F119" s="104"/>
      <c r="G119" s="104"/>
      <c r="H119" s="105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</row>
    <row r="120">
      <c r="A120" s="104"/>
      <c r="B120" s="104"/>
      <c r="C120" s="104"/>
      <c r="D120" s="104"/>
      <c r="E120" s="104"/>
      <c r="F120" s="104"/>
      <c r="G120" s="104"/>
      <c r="H120" s="105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</row>
    <row r="121">
      <c r="A121" s="104"/>
      <c r="B121" s="104"/>
      <c r="C121" s="104"/>
      <c r="D121" s="104"/>
      <c r="E121" s="104"/>
      <c r="F121" s="104"/>
      <c r="G121" s="104"/>
      <c r="H121" s="105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</row>
    <row r="122">
      <c r="A122" s="104"/>
      <c r="B122" s="104"/>
      <c r="C122" s="104"/>
      <c r="D122" s="104"/>
      <c r="E122" s="104"/>
      <c r="F122" s="104"/>
      <c r="G122" s="104"/>
      <c r="H122" s="105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</row>
    <row r="123">
      <c r="A123" s="104"/>
      <c r="B123" s="104"/>
      <c r="C123" s="104"/>
      <c r="D123" s="104"/>
      <c r="E123" s="104"/>
      <c r="F123" s="104"/>
      <c r="G123" s="104"/>
      <c r="H123" s="105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</row>
    <row r="124">
      <c r="A124" s="104"/>
      <c r="B124" s="104"/>
      <c r="C124" s="104"/>
      <c r="D124" s="104"/>
      <c r="E124" s="104"/>
      <c r="F124" s="104"/>
      <c r="G124" s="104"/>
      <c r="H124" s="105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</row>
    <row r="125">
      <c r="A125" s="104"/>
      <c r="B125" s="104"/>
      <c r="C125" s="104"/>
      <c r="D125" s="104"/>
      <c r="E125" s="104"/>
      <c r="F125" s="104"/>
      <c r="G125" s="104"/>
      <c r="H125" s="105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</row>
    <row r="126">
      <c r="A126" s="104"/>
      <c r="B126" s="104"/>
      <c r="C126" s="104"/>
      <c r="D126" s="104"/>
      <c r="E126" s="104"/>
      <c r="F126" s="104"/>
      <c r="G126" s="104"/>
      <c r="H126" s="105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</row>
    <row r="127">
      <c r="A127" s="104"/>
      <c r="B127" s="104"/>
      <c r="C127" s="104"/>
      <c r="D127" s="104"/>
      <c r="E127" s="104"/>
      <c r="F127" s="104"/>
      <c r="G127" s="104"/>
      <c r="H127" s="105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</row>
    <row r="128">
      <c r="A128" s="104"/>
      <c r="B128" s="104"/>
      <c r="C128" s="104"/>
      <c r="D128" s="104"/>
      <c r="E128" s="104"/>
      <c r="F128" s="104"/>
      <c r="G128" s="104"/>
      <c r="H128" s="105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</row>
    <row r="129">
      <c r="A129" s="104"/>
      <c r="B129" s="104"/>
      <c r="C129" s="104"/>
      <c r="D129" s="104"/>
      <c r="E129" s="104"/>
      <c r="F129" s="104"/>
      <c r="G129" s="104"/>
      <c r="H129" s="105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</row>
    <row r="130">
      <c r="A130" s="104"/>
      <c r="B130" s="104"/>
      <c r="C130" s="104"/>
      <c r="D130" s="104"/>
      <c r="E130" s="104"/>
      <c r="F130" s="104"/>
      <c r="G130" s="104"/>
      <c r="H130" s="105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</row>
    <row r="131">
      <c r="A131" s="104"/>
      <c r="B131" s="104"/>
      <c r="C131" s="104"/>
      <c r="D131" s="104"/>
      <c r="E131" s="104"/>
      <c r="F131" s="104"/>
      <c r="G131" s="104"/>
      <c r="H131" s="105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</row>
    <row r="132">
      <c r="A132" s="104"/>
      <c r="B132" s="104"/>
      <c r="C132" s="104"/>
      <c r="D132" s="104"/>
      <c r="E132" s="104"/>
      <c r="F132" s="104"/>
      <c r="G132" s="104"/>
      <c r="H132" s="105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</row>
    <row r="133">
      <c r="A133" s="104"/>
      <c r="B133" s="104"/>
      <c r="C133" s="104"/>
      <c r="D133" s="104"/>
      <c r="E133" s="104"/>
      <c r="F133" s="104"/>
      <c r="G133" s="104"/>
      <c r="H133" s="105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</row>
    <row r="134">
      <c r="A134" s="104"/>
      <c r="B134" s="104"/>
      <c r="C134" s="104"/>
      <c r="D134" s="104"/>
      <c r="E134" s="104"/>
      <c r="F134" s="104"/>
      <c r="G134" s="104"/>
      <c r="H134" s="105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</row>
    <row r="135">
      <c r="A135" s="104"/>
      <c r="B135" s="104"/>
      <c r="C135" s="104"/>
      <c r="D135" s="104"/>
      <c r="E135" s="104"/>
      <c r="F135" s="104"/>
      <c r="G135" s="104"/>
      <c r="H135" s="105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</row>
    <row r="136">
      <c r="A136" s="104"/>
      <c r="B136" s="104"/>
      <c r="C136" s="104"/>
      <c r="D136" s="104"/>
      <c r="E136" s="104"/>
      <c r="F136" s="104"/>
      <c r="G136" s="104"/>
      <c r="H136" s="105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</row>
    <row r="137">
      <c r="A137" s="104"/>
      <c r="B137" s="104"/>
      <c r="C137" s="104"/>
      <c r="D137" s="104"/>
      <c r="E137" s="104"/>
      <c r="F137" s="104"/>
      <c r="G137" s="104"/>
      <c r="H137" s="105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</row>
    <row r="138">
      <c r="A138" s="104"/>
      <c r="B138" s="104"/>
      <c r="C138" s="104"/>
      <c r="D138" s="104"/>
      <c r="E138" s="104"/>
      <c r="F138" s="104"/>
      <c r="G138" s="104"/>
      <c r="H138" s="105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</row>
    <row r="139">
      <c r="A139" s="104"/>
      <c r="B139" s="104"/>
      <c r="C139" s="104"/>
      <c r="D139" s="104"/>
      <c r="E139" s="104"/>
      <c r="F139" s="104"/>
      <c r="G139" s="104"/>
      <c r="H139" s="105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</row>
    <row r="140">
      <c r="A140" s="104"/>
      <c r="B140" s="104"/>
      <c r="C140" s="104"/>
      <c r="D140" s="104"/>
      <c r="E140" s="104"/>
      <c r="F140" s="104"/>
      <c r="G140" s="104"/>
      <c r="H140" s="105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</row>
    <row r="141">
      <c r="A141" s="104"/>
      <c r="B141" s="104"/>
      <c r="C141" s="104"/>
      <c r="D141" s="104"/>
      <c r="E141" s="104"/>
      <c r="F141" s="104"/>
      <c r="G141" s="104"/>
      <c r="H141" s="105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</row>
    <row r="142">
      <c r="A142" s="104"/>
      <c r="B142" s="104"/>
      <c r="C142" s="104"/>
      <c r="D142" s="104"/>
      <c r="E142" s="104"/>
      <c r="F142" s="104"/>
      <c r="G142" s="104"/>
      <c r="H142" s="105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</row>
    <row r="143">
      <c r="A143" s="104"/>
      <c r="B143" s="104"/>
      <c r="C143" s="104"/>
      <c r="D143" s="104"/>
      <c r="E143" s="104"/>
      <c r="F143" s="104"/>
      <c r="G143" s="104"/>
      <c r="H143" s="105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</row>
    <row r="144">
      <c r="A144" s="104"/>
      <c r="B144" s="104"/>
      <c r="C144" s="104"/>
      <c r="D144" s="104"/>
      <c r="E144" s="104"/>
      <c r="F144" s="104"/>
      <c r="G144" s="104"/>
      <c r="H144" s="105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</row>
    <row r="145">
      <c r="A145" s="104"/>
      <c r="B145" s="104"/>
      <c r="C145" s="104"/>
      <c r="D145" s="104"/>
      <c r="E145" s="104"/>
      <c r="F145" s="104"/>
      <c r="G145" s="104"/>
      <c r="H145" s="105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</row>
    <row r="146">
      <c r="A146" s="104"/>
      <c r="B146" s="104"/>
      <c r="C146" s="104"/>
      <c r="D146" s="104"/>
      <c r="E146" s="104"/>
      <c r="F146" s="104"/>
      <c r="G146" s="104"/>
      <c r="H146" s="105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</row>
    <row r="147">
      <c r="A147" s="104"/>
      <c r="B147" s="104"/>
      <c r="C147" s="104"/>
      <c r="D147" s="104"/>
      <c r="E147" s="104"/>
      <c r="F147" s="104"/>
      <c r="G147" s="104"/>
      <c r="H147" s="105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</row>
    <row r="148">
      <c r="A148" s="104"/>
      <c r="B148" s="104"/>
      <c r="C148" s="104"/>
      <c r="D148" s="104"/>
      <c r="E148" s="104"/>
      <c r="F148" s="104"/>
      <c r="G148" s="104"/>
      <c r="H148" s="105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</row>
    <row r="149">
      <c r="A149" s="104"/>
      <c r="B149" s="104"/>
      <c r="C149" s="104"/>
      <c r="D149" s="104"/>
      <c r="E149" s="104"/>
      <c r="F149" s="104"/>
      <c r="G149" s="104"/>
      <c r="H149" s="105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</row>
    <row r="150">
      <c r="A150" s="104"/>
      <c r="B150" s="104"/>
      <c r="C150" s="104"/>
      <c r="D150" s="104"/>
      <c r="E150" s="104"/>
      <c r="F150" s="104"/>
      <c r="G150" s="104"/>
      <c r="H150" s="105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</row>
    <row r="151">
      <c r="A151" s="104"/>
      <c r="B151" s="104"/>
      <c r="C151" s="104"/>
      <c r="D151" s="104"/>
      <c r="E151" s="104"/>
      <c r="F151" s="104"/>
      <c r="G151" s="104"/>
      <c r="H151" s="105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</row>
    <row r="152">
      <c r="A152" s="104"/>
      <c r="B152" s="104"/>
      <c r="C152" s="104"/>
      <c r="D152" s="104"/>
      <c r="E152" s="104"/>
      <c r="F152" s="104"/>
      <c r="G152" s="104"/>
      <c r="H152" s="105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</row>
    <row r="153">
      <c r="A153" s="104"/>
      <c r="B153" s="104"/>
      <c r="C153" s="104"/>
      <c r="D153" s="104"/>
      <c r="E153" s="104"/>
      <c r="F153" s="104"/>
      <c r="G153" s="104"/>
      <c r="H153" s="105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</row>
    <row r="154">
      <c r="A154" s="104"/>
      <c r="B154" s="104"/>
      <c r="C154" s="104"/>
      <c r="D154" s="104"/>
      <c r="E154" s="104"/>
      <c r="F154" s="104"/>
      <c r="G154" s="104"/>
      <c r="H154" s="105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</row>
    <row r="155">
      <c r="A155" s="104"/>
      <c r="B155" s="104"/>
      <c r="C155" s="104"/>
      <c r="D155" s="104"/>
      <c r="E155" s="104"/>
      <c r="F155" s="104"/>
      <c r="G155" s="104"/>
      <c r="H155" s="105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</row>
    <row r="156">
      <c r="A156" s="104"/>
      <c r="B156" s="104"/>
      <c r="C156" s="104"/>
      <c r="D156" s="104"/>
      <c r="E156" s="104"/>
      <c r="F156" s="104"/>
      <c r="G156" s="104"/>
      <c r="H156" s="105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</row>
    <row r="157">
      <c r="A157" s="104"/>
      <c r="B157" s="104"/>
      <c r="C157" s="104"/>
      <c r="D157" s="104"/>
      <c r="E157" s="104"/>
      <c r="F157" s="104"/>
      <c r="G157" s="104"/>
      <c r="H157" s="105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</row>
    <row r="158">
      <c r="A158" s="104"/>
      <c r="B158" s="104"/>
      <c r="C158" s="104"/>
      <c r="D158" s="104"/>
      <c r="E158" s="104"/>
      <c r="F158" s="104"/>
      <c r="G158" s="104"/>
      <c r="H158" s="105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</row>
    <row r="159">
      <c r="A159" s="104"/>
      <c r="B159" s="104"/>
      <c r="C159" s="104"/>
      <c r="D159" s="104"/>
      <c r="E159" s="104"/>
      <c r="F159" s="104"/>
      <c r="G159" s="104"/>
      <c r="H159" s="105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</row>
    <row r="160">
      <c r="A160" s="104"/>
      <c r="B160" s="104"/>
      <c r="C160" s="104"/>
      <c r="D160" s="104"/>
      <c r="E160" s="104"/>
      <c r="F160" s="104"/>
      <c r="G160" s="104"/>
      <c r="H160" s="105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</row>
    <row r="161">
      <c r="A161" s="104"/>
      <c r="B161" s="104"/>
      <c r="C161" s="104"/>
      <c r="D161" s="104"/>
      <c r="E161" s="104"/>
      <c r="F161" s="104"/>
      <c r="G161" s="104"/>
      <c r="H161" s="105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</row>
    <row r="162">
      <c r="A162" s="104"/>
      <c r="B162" s="104"/>
      <c r="C162" s="104"/>
      <c r="D162" s="104"/>
      <c r="E162" s="104"/>
      <c r="F162" s="104"/>
      <c r="G162" s="104"/>
      <c r="H162" s="105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</row>
    <row r="163">
      <c r="A163" s="104"/>
      <c r="B163" s="104"/>
      <c r="C163" s="104"/>
      <c r="D163" s="104"/>
      <c r="E163" s="104"/>
      <c r="F163" s="104"/>
      <c r="G163" s="104"/>
      <c r="H163" s="105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</row>
    <row r="164">
      <c r="A164" s="104"/>
      <c r="B164" s="104"/>
      <c r="C164" s="104"/>
      <c r="D164" s="104"/>
      <c r="E164" s="104"/>
      <c r="F164" s="104"/>
      <c r="G164" s="104"/>
      <c r="H164" s="105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</row>
    <row r="165">
      <c r="A165" s="104"/>
      <c r="B165" s="104"/>
      <c r="C165" s="104"/>
      <c r="D165" s="104"/>
      <c r="E165" s="104"/>
      <c r="F165" s="104"/>
      <c r="G165" s="104"/>
      <c r="H165" s="105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</row>
    <row r="166">
      <c r="A166" s="104"/>
      <c r="B166" s="104"/>
      <c r="C166" s="104"/>
      <c r="D166" s="104"/>
      <c r="E166" s="104"/>
      <c r="F166" s="104"/>
      <c r="G166" s="104"/>
      <c r="H166" s="105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</row>
    <row r="167">
      <c r="A167" s="104"/>
      <c r="B167" s="104"/>
      <c r="C167" s="104"/>
      <c r="D167" s="104"/>
      <c r="E167" s="104"/>
      <c r="F167" s="104"/>
      <c r="G167" s="104"/>
      <c r="H167" s="105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</row>
    <row r="168">
      <c r="A168" s="104"/>
      <c r="B168" s="104"/>
      <c r="C168" s="104"/>
      <c r="D168" s="104"/>
      <c r="E168" s="104"/>
      <c r="F168" s="104"/>
      <c r="G168" s="104"/>
      <c r="H168" s="105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</row>
    <row r="169">
      <c r="A169" s="104"/>
      <c r="B169" s="104"/>
      <c r="C169" s="104"/>
      <c r="D169" s="104"/>
      <c r="E169" s="104"/>
      <c r="F169" s="104"/>
      <c r="G169" s="104"/>
      <c r="H169" s="105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</row>
    <row r="170">
      <c r="A170" s="104"/>
      <c r="B170" s="104"/>
      <c r="C170" s="104"/>
      <c r="D170" s="104"/>
      <c r="E170" s="104"/>
      <c r="F170" s="104"/>
      <c r="G170" s="104"/>
      <c r="H170" s="105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</row>
    <row r="171">
      <c r="A171" s="104"/>
      <c r="B171" s="104"/>
      <c r="C171" s="104"/>
      <c r="D171" s="104"/>
      <c r="E171" s="104"/>
      <c r="F171" s="104"/>
      <c r="G171" s="104"/>
      <c r="H171" s="105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</row>
    <row r="172">
      <c r="A172" s="104"/>
      <c r="B172" s="104"/>
      <c r="C172" s="104"/>
      <c r="D172" s="104"/>
      <c r="E172" s="104"/>
      <c r="F172" s="104"/>
      <c r="G172" s="104"/>
      <c r="H172" s="105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</row>
    <row r="173">
      <c r="A173" s="104"/>
      <c r="B173" s="104"/>
      <c r="C173" s="104"/>
      <c r="D173" s="104"/>
      <c r="E173" s="104"/>
      <c r="F173" s="104"/>
      <c r="G173" s="104"/>
      <c r="H173" s="105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</row>
    <row r="174">
      <c r="A174" s="104"/>
      <c r="B174" s="104"/>
      <c r="C174" s="104"/>
      <c r="D174" s="104"/>
      <c r="E174" s="104"/>
      <c r="F174" s="104"/>
      <c r="G174" s="104"/>
      <c r="H174" s="105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</row>
    <row r="175">
      <c r="A175" s="104"/>
      <c r="B175" s="104"/>
      <c r="C175" s="104"/>
      <c r="D175" s="104"/>
      <c r="E175" s="104"/>
      <c r="F175" s="104"/>
      <c r="G175" s="104"/>
      <c r="H175" s="105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</row>
    <row r="176">
      <c r="A176" s="104"/>
      <c r="B176" s="104"/>
      <c r="C176" s="104"/>
      <c r="D176" s="104"/>
      <c r="E176" s="104"/>
      <c r="F176" s="104"/>
      <c r="G176" s="104"/>
      <c r="H176" s="105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</row>
    <row r="177">
      <c r="A177" s="104"/>
      <c r="B177" s="104"/>
      <c r="C177" s="104"/>
      <c r="D177" s="104"/>
      <c r="E177" s="104"/>
      <c r="F177" s="104"/>
      <c r="G177" s="104"/>
      <c r="H177" s="105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</row>
    <row r="178">
      <c r="A178" s="104"/>
      <c r="B178" s="104"/>
      <c r="C178" s="104"/>
      <c r="D178" s="104"/>
      <c r="E178" s="104"/>
      <c r="F178" s="104"/>
      <c r="G178" s="104"/>
      <c r="H178" s="105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</row>
    <row r="179">
      <c r="A179" s="104"/>
      <c r="B179" s="104"/>
      <c r="C179" s="104"/>
      <c r="D179" s="104"/>
      <c r="E179" s="104"/>
      <c r="F179" s="104"/>
      <c r="G179" s="104"/>
      <c r="H179" s="105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</row>
    <row r="180">
      <c r="A180" s="104"/>
      <c r="B180" s="104"/>
      <c r="C180" s="104"/>
      <c r="D180" s="104"/>
      <c r="E180" s="104"/>
      <c r="F180" s="104"/>
      <c r="G180" s="104"/>
      <c r="H180" s="105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</row>
    <row r="181">
      <c r="A181" s="104"/>
      <c r="B181" s="104"/>
      <c r="C181" s="104"/>
      <c r="D181" s="104"/>
      <c r="E181" s="104"/>
      <c r="F181" s="104"/>
      <c r="G181" s="104"/>
      <c r="H181" s="105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</row>
    <row r="182">
      <c r="A182" s="104"/>
      <c r="B182" s="104"/>
      <c r="C182" s="104"/>
      <c r="D182" s="104"/>
      <c r="E182" s="104"/>
      <c r="F182" s="104"/>
      <c r="G182" s="104"/>
      <c r="H182" s="105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</row>
    <row r="183">
      <c r="A183" s="104"/>
      <c r="B183" s="104"/>
      <c r="C183" s="104"/>
      <c r="D183" s="104"/>
      <c r="E183" s="104"/>
      <c r="F183" s="104"/>
      <c r="G183" s="104"/>
      <c r="H183" s="105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</row>
    <row r="184">
      <c r="A184" s="104"/>
      <c r="B184" s="104"/>
      <c r="C184" s="104"/>
      <c r="D184" s="104"/>
      <c r="E184" s="104"/>
      <c r="F184" s="104"/>
      <c r="G184" s="104"/>
      <c r="H184" s="105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</row>
    <row r="185">
      <c r="A185" s="104"/>
      <c r="B185" s="104"/>
      <c r="C185" s="104"/>
      <c r="D185" s="104"/>
      <c r="E185" s="104"/>
      <c r="F185" s="104"/>
      <c r="G185" s="104"/>
      <c r="H185" s="105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</row>
    <row r="186">
      <c r="A186" s="104"/>
      <c r="B186" s="104"/>
      <c r="C186" s="104"/>
      <c r="D186" s="104"/>
      <c r="E186" s="104"/>
      <c r="F186" s="104"/>
      <c r="G186" s="104"/>
      <c r="H186" s="105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</row>
    <row r="187">
      <c r="A187" s="104"/>
      <c r="B187" s="104"/>
      <c r="C187" s="104"/>
      <c r="D187" s="104"/>
      <c r="E187" s="104"/>
      <c r="F187" s="104"/>
      <c r="G187" s="104"/>
      <c r="H187" s="105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</row>
    <row r="188">
      <c r="A188" s="104"/>
      <c r="B188" s="104"/>
      <c r="C188" s="104"/>
      <c r="D188" s="104"/>
      <c r="E188" s="104"/>
      <c r="F188" s="104"/>
      <c r="G188" s="104"/>
      <c r="H188" s="105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</row>
    <row r="189">
      <c r="A189" s="104"/>
      <c r="B189" s="104"/>
      <c r="C189" s="104"/>
      <c r="D189" s="104"/>
      <c r="E189" s="104"/>
      <c r="F189" s="104"/>
      <c r="G189" s="104"/>
      <c r="H189" s="105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</row>
    <row r="190">
      <c r="A190" s="104"/>
      <c r="B190" s="104"/>
      <c r="C190" s="104"/>
      <c r="D190" s="104"/>
      <c r="E190" s="104"/>
      <c r="F190" s="104"/>
      <c r="G190" s="104"/>
      <c r="H190" s="105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</row>
    <row r="191">
      <c r="A191" s="104"/>
      <c r="B191" s="104"/>
      <c r="C191" s="104"/>
      <c r="D191" s="104"/>
      <c r="E191" s="104"/>
      <c r="F191" s="104"/>
      <c r="G191" s="104"/>
      <c r="H191" s="105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</row>
    <row r="192">
      <c r="A192" s="104"/>
      <c r="B192" s="104"/>
      <c r="C192" s="104"/>
      <c r="D192" s="104"/>
      <c r="E192" s="104"/>
      <c r="F192" s="104"/>
      <c r="G192" s="104"/>
      <c r="H192" s="105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</row>
    <row r="193">
      <c r="A193" s="104"/>
      <c r="B193" s="104"/>
      <c r="C193" s="104"/>
      <c r="D193" s="104"/>
      <c r="E193" s="104"/>
      <c r="F193" s="104"/>
      <c r="G193" s="104"/>
      <c r="H193" s="105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</row>
    <row r="194">
      <c r="A194" s="104"/>
      <c r="B194" s="104"/>
      <c r="C194" s="104"/>
      <c r="D194" s="104"/>
      <c r="E194" s="104"/>
      <c r="F194" s="104"/>
      <c r="G194" s="104"/>
      <c r="H194" s="105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</row>
    <row r="195">
      <c r="A195" s="104"/>
      <c r="B195" s="104"/>
      <c r="C195" s="104"/>
      <c r="D195" s="104"/>
      <c r="E195" s="104"/>
      <c r="F195" s="104"/>
      <c r="G195" s="104"/>
      <c r="H195" s="105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</row>
    <row r="196">
      <c r="A196" s="104"/>
      <c r="B196" s="104"/>
      <c r="C196" s="104"/>
      <c r="D196" s="104"/>
      <c r="E196" s="104"/>
      <c r="F196" s="104"/>
      <c r="G196" s="104"/>
      <c r="H196" s="105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</row>
    <row r="197">
      <c r="A197" s="104"/>
      <c r="B197" s="104"/>
      <c r="C197" s="104"/>
      <c r="D197" s="104"/>
      <c r="E197" s="104"/>
      <c r="F197" s="104"/>
      <c r="G197" s="104"/>
      <c r="H197" s="105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</row>
    <row r="198">
      <c r="A198" s="104"/>
      <c r="B198" s="104"/>
      <c r="C198" s="104"/>
      <c r="D198" s="104"/>
      <c r="E198" s="104"/>
      <c r="F198" s="104"/>
      <c r="G198" s="104"/>
      <c r="H198" s="105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</row>
    <row r="199">
      <c r="A199" s="104"/>
      <c r="B199" s="104"/>
      <c r="C199" s="104"/>
      <c r="D199" s="104"/>
      <c r="E199" s="104"/>
      <c r="F199" s="104"/>
      <c r="G199" s="104"/>
      <c r="H199" s="105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</row>
    <row r="200">
      <c r="A200" s="104"/>
      <c r="B200" s="104"/>
      <c r="C200" s="104"/>
      <c r="D200" s="104"/>
      <c r="E200" s="104"/>
      <c r="F200" s="104"/>
      <c r="G200" s="104"/>
      <c r="H200" s="105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</row>
    <row r="201">
      <c r="A201" s="104"/>
      <c r="B201" s="104"/>
      <c r="C201" s="104"/>
      <c r="D201" s="104"/>
      <c r="E201" s="104"/>
      <c r="F201" s="104"/>
      <c r="G201" s="104"/>
      <c r="H201" s="105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</row>
    <row r="202">
      <c r="A202" s="104"/>
      <c r="B202" s="104"/>
      <c r="C202" s="104"/>
      <c r="D202" s="104"/>
      <c r="E202" s="104"/>
      <c r="F202" s="104"/>
      <c r="G202" s="104"/>
      <c r="H202" s="105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</row>
    <row r="203">
      <c r="A203" s="104"/>
      <c r="B203" s="104"/>
      <c r="C203" s="104"/>
      <c r="D203" s="104"/>
      <c r="E203" s="104"/>
      <c r="F203" s="104"/>
      <c r="G203" s="104"/>
      <c r="H203" s="105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</row>
    <row r="204">
      <c r="A204" s="104"/>
      <c r="B204" s="104"/>
      <c r="C204" s="104"/>
      <c r="D204" s="104"/>
      <c r="E204" s="104"/>
      <c r="F204" s="104"/>
      <c r="G204" s="104"/>
      <c r="H204" s="105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</row>
    <row r="205">
      <c r="A205" s="104"/>
      <c r="B205" s="104"/>
      <c r="C205" s="104"/>
      <c r="D205" s="104"/>
      <c r="E205" s="104"/>
      <c r="F205" s="104"/>
      <c r="G205" s="104"/>
      <c r="H205" s="105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</row>
    <row r="206">
      <c r="A206" s="104"/>
      <c r="B206" s="104"/>
      <c r="C206" s="104"/>
      <c r="D206" s="104"/>
      <c r="E206" s="104"/>
      <c r="F206" s="104"/>
      <c r="G206" s="104"/>
      <c r="H206" s="105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</row>
    <row r="207">
      <c r="A207" s="104"/>
      <c r="B207" s="104"/>
      <c r="C207" s="104"/>
      <c r="D207" s="104"/>
      <c r="E207" s="104"/>
      <c r="F207" s="104"/>
      <c r="G207" s="104"/>
      <c r="H207" s="105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</row>
    <row r="208">
      <c r="A208" s="104"/>
      <c r="B208" s="104"/>
      <c r="C208" s="104"/>
      <c r="D208" s="104"/>
      <c r="E208" s="104"/>
      <c r="F208" s="104"/>
      <c r="G208" s="104"/>
      <c r="H208" s="105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</row>
    <row r="209">
      <c r="A209" s="104"/>
      <c r="B209" s="104"/>
      <c r="C209" s="104"/>
      <c r="D209" s="104"/>
      <c r="E209" s="104"/>
      <c r="F209" s="104"/>
      <c r="G209" s="104"/>
      <c r="H209" s="105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</row>
    <row r="210">
      <c r="A210" s="104"/>
      <c r="B210" s="104"/>
      <c r="C210" s="104"/>
      <c r="D210" s="104"/>
      <c r="E210" s="104"/>
      <c r="F210" s="104"/>
      <c r="G210" s="104"/>
      <c r="H210" s="105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</row>
    <row r="211">
      <c r="A211" s="104"/>
      <c r="B211" s="104"/>
      <c r="C211" s="104"/>
      <c r="D211" s="104"/>
      <c r="E211" s="104"/>
      <c r="F211" s="104"/>
      <c r="G211" s="104"/>
      <c r="H211" s="105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</row>
    <row r="212">
      <c r="A212" s="104"/>
      <c r="B212" s="104"/>
      <c r="C212" s="104"/>
      <c r="D212" s="104"/>
      <c r="E212" s="104"/>
      <c r="F212" s="104"/>
      <c r="G212" s="104"/>
      <c r="H212" s="105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</row>
    <row r="213">
      <c r="A213" s="104"/>
      <c r="B213" s="104"/>
      <c r="C213" s="104"/>
      <c r="D213" s="104"/>
      <c r="E213" s="104"/>
      <c r="F213" s="104"/>
      <c r="G213" s="104"/>
      <c r="H213" s="105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</row>
    <row r="214">
      <c r="A214" s="104"/>
      <c r="B214" s="104"/>
      <c r="C214" s="104"/>
      <c r="D214" s="104"/>
      <c r="E214" s="104"/>
      <c r="F214" s="104"/>
      <c r="G214" s="104"/>
      <c r="H214" s="105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</row>
    <row r="215">
      <c r="A215" s="104"/>
      <c r="B215" s="104"/>
      <c r="C215" s="104"/>
      <c r="D215" s="104"/>
      <c r="E215" s="104"/>
      <c r="F215" s="104"/>
      <c r="G215" s="104"/>
      <c r="H215" s="105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</row>
    <row r="216">
      <c r="A216" s="104"/>
      <c r="B216" s="104"/>
      <c r="C216" s="104"/>
      <c r="D216" s="104"/>
      <c r="E216" s="104"/>
      <c r="F216" s="104"/>
      <c r="G216" s="104"/>
      <c r="H216" s="105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</row>
    <row r="217">
      <c r="A217" s="104"/>
      <c r="B217" s="104"/>
      <c r="C217" s="104"/>
      <c r="D217" s="104"/>
      <c r="E217" s="104"/>
      <c r="F217" s="104"/>
      <c r="G217" s="104"/>
      <c r="H217" s="105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</row>
    <row r="218">
      <c r="A218" s="104"/>
      <c r="B218" s="104"/>
      <c r="C218" s="104"/>
      <c r="D218" s="104"/>
      <c r="E218" s="104"/>
      <c r="F218" s="104"/>
      <c r="G218" s="104"/>
      <c r="H218" s="105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</row>
    <row r="219">
      <c r="A219" s="104"/>
      <c r="B219" s="104"/>
      <c r="C219" s="104"/>
      <c r="D219" s="104"/>
      <c r="E219" s="104"/>
      <c r="F219" s="104"/>
      <c r="G219" s="104"/>
      <c r="H219" s="105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</row>
    <row r="220">
      <c r="A220" s="104"/>
      <c r="B220" s="104"/>
      <c r="C220" s="104"/>
      <c r="D220" s="104"/>
      <c r="E220" s="104"/>
      <c r="F220" s="104"/>
      <c r="G220" s="104"/>
      <c r="H220" s="105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</row>
    <row r="221">
      <c r="A221" s="104"/>
      <c r="B221" s="104"/>
      <c r="C221" s="104"/>
      <c r="D221" s="104"/>
      <c r="E221" s="104"/>
      <c r="F221" s="104"/>
      <c r="G221" s="104"/>
      <c r="H221" s="105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</row>
    <row r="222">
      <c r="A222" s="104"/>
      <c r="B222" s="104"/>
      <c r="C222" s="104"/>
      <c r="D222" s="104"/>
      <c r="E222" s="104"/>
      <c r="F222" s="104"/>
      <c r="G222" s="104"/>
      <c r="H222" s="105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</row>
    <row r="223">
      <c r="A223" s="104"/>
      <c r="B223" s="104"/>
      <c r="C223" s="104"/>
      <c r="D223" s="104"/>
      <c r="E223" s="104"/>
      <c r="F223" s="104"/>
      <c r="G223" s="104"/>
      <c r="H223" s="105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</row>
    <row r="224">
      <c r="A224" s="104"/>
      <c r="B224" s="104"/>
      <c r="C224" s="104"/>
      <c r="D224" s="104"/>
      <c r="E224" s="104"/>
      <c r="F224" s="104"/>
      <c r="G224" s="104"/>
      <c r="H224" s="105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</row>
    <row r="225">
      <c r="A225" s="104"/>
      <c r="B225" s="104"/>
      <c r="C225" s="104"/>
      <c r="D225" s="104"/>
      <c r="E225" s="104"/>
      <c r="F225" s="104"/>
      <c r="G225" s="104"/>
      <c r="H225" s="105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</row>
    <row r="226">
      <c r="A226" s="104"/>
      <c r="B226" s="104"/>
      <c r="C226" s="104"/>
      <c r="D226" s="104"/>
      <c r="E226" s="104"/>
      <c r="F226" s="104"/>
      <c r="G226" s="104"/>
      <c r="H226" s="105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</row>
    <row r="227">
      <c r="A227" s="104"/>
      <c r="B227" s="104"/>
      <c r="C227" s="104"/>
      <c r="D227" s="104"/>
      <c r="E227" s="104"/>
      <c r="F227" s="104"/>
      <c r="G227" s="104"/>
      <c r="H227" s="105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</row>
    <row r="228">
      <c r="A228" s="104"/>
      <c r="B228" s="104"/>
      <c r="C228" s="104"/>
      <c r="D228" s="104"/>
      <c r="E228" s="104"/>
      <c r="F228" s="104"/>
      <c r="G228" s="104"/>
      <c r="H228" s="105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</row>
    <row r="229">
      <c r="A229" s="104"/>
      <c r="B229" s="104"/>
      <c r="C229" s="104"/>
      <c r="D229" s="104"/>
      <c r="E229" s="104"/>
      <c r="F229" s="104"/>
      <c r="G229" s="104"/>
      <c r="H229" s="105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</row>
    <row r="230">
      <c r="A230" s="104"/>
      <c r="B230" s="104"/>
      <c r="C230" s="104"/>
      <c r="D230" s="104"/>
      <c r="E230" s="104"/>
      <c r="F230" s="104"/>
      <c r="G230" s="104"/>
      <c r="H230" s="105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</row>
    <row r="231">
      <c r="A231" s="104"/>
      <c r="B231" s="104"/>
      <c r="C231" s="104"/>
      <c r="D231" s="104"/>
      <c r="E231" s="104"/>
      <c r="F231" s="104"/>
      <c r="G231" s="104"/>
      <c r="H231" s="105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</row>
    <row r="232">
      <c r="A232" s="104"/>
      <c r="B232" s="104"/>
      <c r="C232" s="104"/>
      <c r="D232" s="104"/>
      <c r="E232" s="104"/>
      <c r="F232" s="104"/>
      <c r="G232" s="104"/>
      <c r="H232" s="105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</row>
    <row r="233">
      <c r="A233" s="104"/>
      <c r="B233" s="104"/>
      <c r="C233" s="104"/>
      <c r="D233" s="104"/>
      <c r="E233" s="104"/>
      <c r="F233" s="104"/>
      <c r="G233" s="104"/>
      <c r="H233" s="105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</row>
    <row r="234">
      <c r="A234" s="104"/>
      <c r="B234" s="104"/>
      <c r="C234" s="104"/>
      <c r="D234" s="104"/>
      <c r="E234" s="104"/>
      <c r="F234" s="104"/>
      <c r="G234" s="104"/>
      <c r="H234" s="105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</row>
    <row r="235">
      <c r="A235" s="104"/>
      <c r="B235" s="104"/>
      <c r="C235" s="104"/>
      <c r="D235" s="104"/>
      <c r="E235" s="104"/>
      <c r="F235" s="104"/>
      <c r="G235" s="104"/>
      <c r="H235" s="105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</row>
    <row r="236">
      <c r="A236" s="104"/>
      <c r="B236" s="104"/>
      <c r="C236" s="104"/>
      <c r="D236" s="104"/>
      <c r="E236" s="104"/>
      <c r="F236" s="104"/>
      <c r="G236" s="104"/>
      <c r="H236" s="105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</row>
    <row r="237">
      <c r="A237" s="104"/>
      <c r="B237" s="104"/>
      <c r="C237" s="104"/>
      <c r="D237" s="104"/>
      <c r="E237" s="104"/>
      <c r="F237" s="104"/>
      <c r="G237" s="104"/>
      <c r="H237" s="105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</row>
    <row r="238">
      <c r="A238" s="104"/>
      <c r="B238" s="104"/>
      <c r="C238" s="104"/>
      <c r="D238" s="104"/>
      <c r="E238" s="104"/>
      <c r="F238" s="104"/>
      <c r="G238" s="104"/>
      <c r="H238" s="105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</row>
    <row r="239">
      <c r="A239" s="104"/>
      <c r="B239" s="104"/>
      <c r="C239" s="104"/>
      <c r="D239" s="104"/>
      <c r="E239" s="104"/>
      <c r="F239" s="104"/>
      <c r="G239" s="104"/>
      <c r="H239" s="105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</row>
    <row r="240">
      <c r="A240" s="104"/>
      <c r="B240" s="104"/>
      <c r="C240" s="104"/>
      <c r="D240" s="104"/>
      <c r="E240" s="104"/>
      <c r="F240" s="104"/>
      <c r="G240" s="104"/>
      <c r="H240" s="105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</row>
    <row r="241">
      <c r="A241" s="104"/>
      <c r="B241" s="104"/>
      <c r="C241" s="104"/>
      <c r="D241" s="104"/>
      <c r="E241" s="104"/>
      <c r="F241" s="104"/>
      <c r="G241" s="104"/>
      <c r="H241" s="105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</row>
    <row r="242">
      <c r="A242" s="104"/>
      <c r="B242" s="104"/>
      <c r="C242" s="104"/>
      <c r="D242" s="104"/>
      <c r="E242" s="104"/>
      <c r="F242" s="104"/>
      <c r="G242" s="104"/>
      <c r="H242" s="105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</row>
    <row r="243">
      <c r="A243" s="104"/>
      <c r="B243" s="104"/>
      <c r="C243" s="104"/>
      <c r="D243" s="104"/>
      <c r="E243" s="104"/>
      <c r="F243" s="104"/>
      <c r="G243" s="104"/>
      <c r="H243" s="105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</row>
    <row r="244">
      <c r="A244" s="104"/>
      <c r="B244" s="104"/>
      <c r="C244" s="104"/>
      <c r="D244" s="104"/>
      <c r="E244" s="104"/>
      <c r="F244" s="104"/>
      <c r="G244" s="104"/>
      <c r="H244" s="105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</row>
    <row r="245">
      <c r="A245" s="104"/>
      <c r="B245" s="104"/>
      <c r="C245" s="104"/>
      <c r="D245" s="104"/>
      <c r="E245" s="104"/>
      <c r="F245" s="104"/>
      <c r="G245" s="104"/>
      <c r="H245" s="105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</row>
    <row r="246">
      <c r="A246" s="104"/>
      <c r="B246" s="104"/>
      <c r="C246" s="104"/>
      <c r="D246" s="104"/>
      <c r="E246" s="104"/>
      <c r="F246" s="104"/>
      <c r="G246" s="104"/>
      <c r="H246" s="105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</row>
    <row r="247">
      <c r="A247" s="104"/>
      <c r="B247" s="104"/>
      <c r="C247" s="104"/>
      <c r="D247" s="104"/>
      <c r="E247" s="104"/>
      <c r="F247" s="104"/>
      <c r="G247" s="104"/>
      <c r="H247" s="105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</row>
    <row r="248">
      <c r="A248" s="104"/>
      <c r="B248" s="104"/>
      <c r="C248" s="104"/>
      <c r="D248" s="104"/>
      <c r="E248" s="104"/>
      <c r="F248" s="104"/>
      <c r="G248" s="104"/>
      <c r="H248" s="105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</row>
    <row r="249">
      <c r="A249" s="104"/>
      <c r="B249" s="104"/>
      <c r="C249" s="104"/>
      <c r="D249" s="104"/>
      <c r="E249" s="104"/>
      <c r="F249" s="104"/>
      <c r="G249" s="104"/>
      <c r="H249" s="105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</row>
    <row r="250">
      <c r="A250" s="104"/>
      <c r="B250" s="104"/>
      <c r="C250" s="104"/>
      <c r="D250" s="104"/>
      <c r="E250" s="104"/>
      <c r="F250" s="104"/>
      <c r="G250" s="104"/>
      <c r="H250" s="105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</row>
    <row r="251">
      <c r="A251" s="104"/>
      <c r="B251" s="104"/>
      <c r="C251" s="104"/>
      <c r="D251" s="104"/>
      <c r="E251" s="104"/>
      <c r="F251" s="104"/>
      <c r="G251" s="104"/>
      <c r="H251" s="105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</row>
    <row r="252">
      <c r="A252" s="104"/>
      <c r="B252" s="104"/>
      <c r="C252" s="104"/>
      <c r="D252" s="104"/>
      <c r="E252" s="104"/>
      <c r="F252" s="104"/>
      <c r="G252" s="104"/>
      <c r="H252" s="105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</row>
    <row r="253">
      <c r="A253" s="104"/>
      <c r="B253" s="104"/>
      <c r="C253" s="104"/>
      <c r="D253" s="104"/>
      <c r="E253" s="104"/>
      <c r="F253" s="104"/>
      <c r="G253" s="104"/>
      <c r="H253" s="105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</row>
    <row r="254">
      <c r="A254" s="104"/>
      <c r="B254" s="104"/>
      <c r="C254" s="104"/>
      <c r="D254" s="104"/>
      <c r="E254" s="104"/>
      <c r="F254" s="104"/>
      <c r="G254" s="104"/>
      <c r="H254" s="105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</row>
    <row r="255">
      <c r="A255" s="104"/>
      <c r="B255" s="104"/>
      <c r="C255" s="104"/>
      <c r="D255" s="104"/>
      <c r="E255" s="104"/>
      <c r="F255" s="104"/>
      <c r="G255" s="104"/>
      <c r="H255" s="105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</row>
    <row r="256">
      <c r="A256" s="104"/>
      <c r="B256" s="104"/>
      <c r="C256" s="104"/>
      <c r="D256" s="104"/>
      <c r="E256" s="104"/>
      <c r="F256" s="104"/>
      <c r="G256" s="104"/>
      <c r="H256" s="105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</row>
    <row r="257">
      <c r="A257" s="104"/>
      <c r="B257" s="104"/>
      <c r="C257" s="104"/>
      <c r="D257" s="104"/>
      <c r="E257" s="104"/>
      <c r="F257" s="104"/>
      <c r="G257" s="104"/>
      <c r="H257" s="105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</row>
    <row r="258">
      <c r="A258" s="104"/>
      <c r="B258" s="104"/>
      <c r="C258" s="104"/>
      <c r="D258" s="104"/>
      <c r="E258" s="104"/>
      <c r="F258" s="104"/>
      <c r="G258" s="104"/>
      <c r="H258" s="105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</row>
    <row r="259">
      <c r="A259" s="104"/>
      <c r="B259" s="104"/>
      <c r="C259" s="104"/>
      <c r="D259" s="104"/>
      <c r="E259" s="104"/>
      <c r="F259" s="104"/>
      <c r="G259" s="104"/>
      <c r="H259" s="105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</row>
    <row r="260">
      <c r="A260" s="104"/>
      <c r="B260" s="104"/>
      <c r="C260" s="104"/>
      <c r="D260" s="104"/>
      <c r="E260" s="104"/>
      <c r="F260" s="104"/>
      <c r="G260" s="104"/>
      <c r="H260" s="105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</row>
    <row r="261">
      <c r="A261" s="104"/>
      <c r="B261" s="104"/>
      <c r="C261" s="104"/>
      <c r="D261" s="104"/>
      <c r="E261" s="104"/>
      <c r="F261" s="104"/>
      <c r="G261" s="104"/>
      <c r="H261" s="105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</row>
    <row r="262">
      <c r="A262" s="104"/>
      <c r="B262" s="104"/>
      <c r="C262" s="104"/>
      <c r="D262" s="104"/>
      <c r="E262" s="104"/>
      <c r="F262" s="104"/>
      <c r="G262" s="104"/>
      <c r="H262" s="105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</row>
    <row r="263">
      <c r="A263" s="104"/>
      <c r="B263" s="104"/>
      <c r="C263" s="104"/>
      <c r="D263" s="104"/>
      <c r="E263" s="104"/>
      <c r="F263" s="104"/>
      <c r="G263" s="104"/>
      <c r="H263" s="105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</row>
    <row r="264">
      <c r="A264" s="104"/>
      <c r="B264" s="104"/>
      <c r="C264" s="104"/>
      <c r="D264" s="104"/>
      <c r="E264" s="104"/>
      <c r="F264" s="104"/>
      <c r="G264" s="104"/>
      <c r="H264" s="105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</row>
    <row r="265">
      <c r="A265" s="104"/>
      <c r="B265" s="104"/>
      <c r="C265" s="104"/>
      <c r="D265" s="104"/>
      <c r="E265" s="104"/>
      <c r="F265" s="104"/>
      <c r="G265" s="104"/>
      <c r="H265" s="105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</row>
    <row r="266">
      <c r="A266" s="104"/>
      <c r="B266" s="104"/>
      <c r="C266" s="104"/>
      <c r="D266" s="104"/>
      <c r="E266" s="104"/>
      <c r="F266" s="104"/>
      <c r="G266" s="104"/>
      <c r="H266" s="105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</row>
    <row r="267">
      <c r="A267" s="104"/>
      <c r="B267" s="104"/>
      <c r="C267" s="104"/>
      <c r="D267" s="104"/>
      <c r="E267" s="104"/>
      <c r="F267" s="104"/>
      <c r="G267" s="104"/>
      <c r="H267" s="105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</row>
    <row r="268">
      <c r="A268" s="104"/>
      <c r="B268" s="104"/>
      <c r="C268" s="104"/>
      <c r="D268" s="104"/>
      <c r="E268" s="104"/>
      <c r="F268" s="104"/>
      <c r="G268" s="104"/>
      <c r="H268" s="105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</row>
    <row r="269">
      <c r="A269" s="104"/>
      <c r="B269" s="104"/>
      <c r="C269" s="104"/>
      <c r="D269" s="104"/>
      <c r="E269" s="104"/>
      <c r="F269" s="104"/>
      <c r="G269" s="104"/>
      <c r="H269" s="105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</row>
    <row r="270">
      <c r="A270" s="104"/>
      <c r="B270" s="104"/>
      <c r="C270" s="104"/>
      <c r="D270" s="104"/>
      <c r="E270" s="104"/>
      <c r="F270" s="104"/>
      <c r="G270" s="104"/>
      <c r="H270" s="105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</row>
    <row r="271">
      <c r="A271" s="104"/>
      <c r="B271" s="104"/>
      <c r="C271" s="104"/>
      <c r="D271" s="104"/>
      <c r="E271" s="104"/>
      <c r="F271" s="104"/>
      <c r="G271" s="104"/>
      <c r="H271" s="105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</row>
    <row r="272">
      <c r="A272" s="104"/>
      <c r="B272" s="104"/>
      <c r="C272" s="104"/>
      <c r="D272" s="104"/>
      <c r="E272" s="104"/>
      <c r="F272" s="104"/>
      <c r="G272" s="104"/>
      <c r="H272" s="105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</row>
    <row r="273">
      <c r="A273" s="104"/>
      <c r="B273" s="104"/>
      <c r="C273" s="104"/>
      <c r="D273" s="104"/>
      <c r="E273" s="104"/>
      <c r="F273" s="104"/>
      <c r="G273" s="104"/>
      <c r="H273" s="105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</row>
    <row r="274">
      <c r="A274" s="104"/>
      <c r="B274" s="104"/>
      <c r="C274" s="104"/>
      <c r="D274" s="104"/>
      <c r="E274" s="104"/>
      <c r="F274" s="104"/>
      <c r="G274" s="104"/>
      <c r="H274" s="105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</row>
    <row r="275">
      <c r="A275" s="104"/>
      <c r="B275" s="104"/>
      <c r="C275" s="104"/>
      <c r="D275" s="104"/>
      <c r="E275" s="104"/>
      <c r="F275" s="104"/>
      <c r="G275" s="104"/>
      <c r="H275" s="105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</row>
    <row r="276">
      <c r="A276" s="104"/>
      <c r="B276" s="104"/>
      <c r="C276" s="104"/>
      <c r="D276" s="104"/>
      <c r="E276" s="104"/>
      <c r="F276" s="104"/>
      <c r="G276" s="104"/>
      <c r="H276" s="105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</row>
    <row r="277">
      <c r="A277" s="104"/>
      <c r="B277" s="104"/>
      <c r="C277" s="104"/>
      <c r="D277" s="104"/>
      <c r="E277" s="104"/>
      <c r="F277" s="104"/>
      <c r="G277" s="104"/>
      <c r="H277" s="105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</row>
    <row r="278">
      <c r="A278" s="104"/>
      <c r="B278" s="104"/>
      <c r="C278" s="104"/>
      <c r="D278" s="104"/>
      <c r="E278" s="104"/>
      <c r="F278" s="104"/>
      <c r="G278" s="104"/>
      <c r="H278" s="105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</row>
    <row r="279">
      <c r="A279" s="104"/>
      <c r="B279" s="104"/>
      <c r="C279" s="104"/>
      <c r="D279" s="104"/>
      <c r="E279" s="104"/>
      <c r="F279" s="104"/>
      <c r="G279" s="104"/>
      <c r="H279" s="105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</row>
    <row r="280">
      <c r="A280" s="104"/>
      <c r="B280" s="104"/>
      <c r="C280" s="104"/>
      <c r="D280" s="104"/>
      <c r="E280" s="104"/>
      <c r="F280" s="104"/>
      <c r="G280" s="104"/>
      <c r="H280" s="105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</row>
    <row r="281">
      <c r="A281" s="104"/>
      <c r="B281" s="104"/>
      <c r="C281" s="104"/>
      <c r="D281" s="104"/>
      <c r="E281" s="104"/>
      <c r="F281" s="104"/>
      <c r="G281" s="104"/>
      <c r="H281" s="105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</row>
    <row r="282">
      <c r="A282" s="104"/>
      <c r="B282" s="104"/>
      <c r="C282" s="104"/>
      <c r="D282" s="104"/>
      <c r="E282" s="104"/>
      <c r="F282" s="104"/>
      <c r="G282" s="104"/>
      <c r="H282" s="105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</row>
    <row r="283">
      <c r="A283" s="104"/>
      <c r="B283" s="104"/>
      <c r="C283" s="104"/>
      <c r="D283" s="104"/>
      <c r="E283" s="104"/>
      <c r="F283" s="104"/>
      <c r="G283" s="104"/>
      <c r="H283" s="105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</row>
    <row r="284">
      <c r="A284" s="104"/>
      <c r="B284" s="104"/>
      <c r="C284" s="104"/>
      <c r="D284" s="104"/>
      <c r="E284" s="104"/>
      <c r="F284" s="104"/>
      <c r="G284" s="104"/>
      <c r="H284" s="105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</row>
    <row r="285">
      <c r="A285" s="104"/>
      <c r="B285" s="104"/>
      <c r="C285" s="104"/>
      <c r="D285" s="104"/>
      <c r="E285" s="104"/>
      <c r="F285" s="104"/>
      <c r="G285" s="104"/>
      <c r="H285" s="105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</row>
    <row r="286">
      <c r="A286" s="104"/>
      <c r="B286" s="104"/>
      <c r="C286" s="104"/>
      <c r="D286" s="104"/>
      <c r="E286" s="104"/>
      <c r="F286" s="104"/>
      <c r="G286" s="104"/>
      <c r="H286" s="105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</row>
    <row r="287">
      <c r="A287" s="104"/>
      <c r="B287" s="104"/>
      <c r="C287" s="104"/>
      <c r="D287" s="104"/>
      <c r="E287" s="104"/>
      <c r="F287" s="104"/>
      <c r="G287" s="104"/>
      <c r="H287" s="105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</row>
    <row r="288">
      <c r="A288" s="104"/>
      <c r="B288" s="104"/>
      <c r="C288" s="104"/>
      <c r="D288" s="104"/>
      <c r="E288" s="104"/>
      <c r="F288" s="104"/>
      <c r="G288" s="104"/>
      <c r="H288" s="105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</row>
    <row r="289">
      <c r="A289" s="104"/>
      <c r="B289" s="104"/>
      <c r="C289" s="104"/>
      <c r="D289" s="104"/>
      <c r="E289" s="104"/>
      <c r="F289" s="104"/>
      <c r="G289" s="104"/>
      <c r="H289" s="105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</row>
    <row r="290">
      <c r="A290" s="104"/>
      <c r="B290" s="104"/>
      <c r="C290" s="104"/>
      <c r="D290" s="104"/>
      <c r="E290" s="104"/>
      <c r="F290" s="104"/>
      <c r="G290" s="104"/>
      <c r="H290" s="105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</row>
    <row r="291">
      <c r="A291" s="104"/>
      <c r="B291" s="104"/>
      <c r="C291" s="104"/>
      <c r="D291" s="104"/>
      <c r="E291" s="104"/>
      <c r="F291" s="104"/>
      <c r="G291" s="104"/>
      <c r="H291" s="105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</row>
    <row r="292">
      <c r="A292" s="104"/>
      <c r="B292" s="104"/>
      <c r="C292" s="104"/>
      <c r="D292" s="104"/>
      <c r="E292" s="104"/>
      <c r="F292" s="104"/>
      <c r="G292" s="104"/>
      <c r="H292" s="105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</row>
    <row r="293">
      <c r="A293" s="104"/>
      <c r="B293" s="104"/>
      <c r="C293" s="104"/>
      <c r="D293" s="104"/>
      <c r="E293" s="104"/>
      <c r="F293" s="104"/>
      <c r="G293" s="104"/>
      <c r="H293" s="105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</row>
    <row r="294">
      <c r="A294" s="104"/>
      <c r="B294" s="104"/>
      <c r="C294" s="104"/>
      <c r="D294" s="104"/>
      <c r="E294" s="104"/>
      <c r="F294" s="104"/>
      <c r="G294" s="104"/>
      <c r="H294" s="105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</row>
    <row r="295">
      <c r="A295" s="104"/>
      <c r="B295" s="104"/>
      <c r="C295" s="104"/>
      <c r="D295" s="104"/>
      <c r="E295" s="104"/>
      <c r="F295" s="104"/>
      <c r="G295" s="104"/>
      <c r="H295" s="105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</row>
    <row r="296">
      <c r="A296" s="104"/>
      <c r="B296" s="104"/>
      <c r="C296" s="104"/>
      <c r="D296" s="104"/>
      <c r="E296" s="104"/>
      <c r="F296" s="104"/>
      <c r="G296" s="104"/>
      <c r="H296" s="105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</row>
    <row r="297">
      <c r="A297" s="104"/>
      <c r="B297" s="104"/>
      <c r="C297" s="104"/>
      <c r="D297" s="104"/>
      <c r="E297" s="104"/>
      <c r="F297" s="104"/>
      <c r="G297" s="104"/>
      <c r="H297" s="105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</row>
    <row r="298">
      <c r="A298" s="104"/>
      <c r="B298" s="104"/>
      <c r="C298" s="104"/>
      <c r="D298" s="104"/>
      <c r="E298" s="104"/>
      <c r="F298" s="104"/>
      <c r="G298" s="104"/>
      <c r="H298" s="105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</row>
    <row r="299">
      <c r="A299" s="104"/>
      <c r="B299" s="104"/>
      <c r="C299" s="104"/>
      <c r="D299" s="104"/>
      <c r="E299" s="104"/>
      <c r="F299" s="104"/>
      <c r="G299" s="104"/>
      <c r="H299" s="105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</row>
    <row r="300">
      <c r="A300" s="104"/>
      <c r="B300" s="104"/>
      <c r="C300" s="104"/>
      <c r="D300" s="104"/>
      <c r="E300" s="104"/>
      <c r="F300" s="104"/>
      <c r="G300" s="104"/>
      <c r="H300" s="105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</row>
    <row r="301">
      <c r="A301" s="104"/>
      <c r="B301" s="104"/>
      <c r="C301" s="104"/>
      <c r="D301" s="104"/>
      <c r="E301" s="104"/>
      <c r="F301" s="104"/>
      <c r="G301" s="104"/>
      <c r="H301" s="105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</row>
    <row r="302">
      <c r="A302" s="104"/>
      <c r="B302" s="104"/>
      <c r="C302" s="104"/>
      <c r="D302" s="104"/>
      <c r="E302" s="104"/>
      <c r="F302" s="104"/>
      <c r="G302" s="104"/>
      <c r="H302" s="105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</row>
    <row r="303">
      <c r="A303" s="104"/>
      <c r="B303" s="104"/>
      <c r="C303" s="104"/>
      <c r="D303" s="104"/>
      <c r="E303" s="104"/>
      <c r="F303" s="104"/>
      <c r="G303" s="104"/>
      <c r="H303" s="105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</row>
    <row r="304">
      <c r="A304" s="104"/>
      <c r="B304" s="104"/>
      <c r="C304" s="104"/>
      <c r="D304" s="104"/>
      <c r="E304" s="104"/>
      <c r="F304" s="104"/>
      <c r="G304" s="104"/>
      <c r="H304" s="105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</row>
    <row r="305">
      <c r="A305" s="104"/>
      <c r="B305" s="104"/>
      <c r="C305" s="104"/>
      <c r="D305" s="104"/>
      <c r="E305" s="104"/>
      <c r="F305" s="104"/>
      <c r="G305" s="104"/>
      <c r="H305" s="105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</row>
    <row r="306">
      <c r="A306" s="104"/>
      <c r="B306" s="104"/>
      <c r="C306" s="104"/>
      <c r="D306" s="104"/>
      <c r="E306" s="104"/>
      <c r="F306" s="104"/>
      <c r="G306" s="104"/>
      <c r="H306" s="105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</row>
    <row r="307">
      <c r="A307" s="104"/>
      <c r="B307" s="104"/>
      <c r="C307" s="104"/>
      <c r="D307" s="104"/>
      <c r="E307" s="104"/>
      <c r="F307" s="104"/>
      <c r="G307" s="104"/>
      <c r="H307" s="105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</row>
    <row r="308">
      <c r="A308" s="104"/>
      <c r="B308" s="104"/>
      <c r="C308" s="104"/>
      <c r="D308" s="104"/>
      <c r="E308" s="104"/>
      <c r="F308" s="104"/>
      <c r="G308" s="104"/>
      <c r="H308" s="105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</row>
    <row r="309">
      <c r="A309" s="104"/>
      <c r="B309" s="104"/>
      <c r="C309" s="104"/>
      <c r="D309" s="104"/>
      <c r="E309" s="104"/>
      <c r="F309" s="104"/>
      <c r="G309" s="104"/>
      <c r="H309" s="105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</row>
    <row r="310">
      <c r="A310" s="104"/>
      <c r="B310" s="104"/>
      <c r="C310" s="104"/>
      <c r="D310" s="104"/>
      <c r="E310" s="104"/>
      <c r="F310" s="104"/>
      <c r="G310" s="104"/>
      <c r="H310" s="105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</row>
    <row r="311">
      <c r="A311" s="104"/>
      <c r="B311" s="104"/>
      <c r="C311" s="104"/>
      <c r="D311" s="104"/>
      <c r="E311" s="104"/>
      <c r="F311" s="104"/>
      <c r="G311" s="104"/>
      <c r="H311" s="105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</row>
    <row r="312">
      <c r="A312" s="104"/>
      <c r="B312" s="104"/>
      <c r="C312" s="104"/>
      <c r="D312" s="104"/>
      <c r="E312" s="104"/>
      <c r="F312" s="104"/>
      <c r="G312" s="104"/>
      <c r="H312" s="105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</row>
    <row r="313">
      <c r="A313" s="104"/>
      <c r="B313" s="104"/>
      <c r="C313" s="104"/>
      <c r="D313" s="104"/>
      <c r="E313" s="104"/>
      <c r="F313" s="104"/>
      <c r="G313" s="104"/>
      <c r="H313" s="105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</row>
    <row r="314">
      <c r="A314" s="104"/>
      <c r="B314" s="104"/>
      <c r="C314" s="104"/>
      <c r="D314" s="104"/>
      <c r="E314" s="104"/>
      <c r="F314" s="104"/>
      <c r="G314" s="104"/>
      <c r="H314" s="105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</row>
    <row r="315">
      <c r="A315" s="104"/>
      <c r="B315" s="104"/>
      <c r="C315" s="104"/>
      <c r="D315" s="104"/>
      <c r="E315" s="104"/>
      <c r="F315" s="104"/>
      <c r="G315" s="104"/>
      <c r="H315" s="105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</row>
    <row r="316">
      <c r="A316" s="104"/>
      <c r="B316" s="104"/>
      <c r="C316" s="104"/>
      <c r="D316" s="104"/>
      <c r="E316" s="104"/>
      <c r="F316" s="104"/>
      <c r="G316" s="104"/>
      <c r="H316" s="105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</row>
    <row r="317">
      <c r="A317" s="104"/>
      <c r="B317" s="104"/>
      <c r="C317" s="104"/>
      <c r="D317" s="104"/>
      <c r="E317" s="104"/>
      <c r="F317" s="104"/>
      <c r="G317" s="104"/>
      <c r="H317" s="105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</row>
    <row r="318">
      <c r="A318" s="104"/>
      <c r="B318" s="104"/>
      <c r="C318" s="104"/>
      <c r="D318" s="104"/>
      <c r="E318" s="104"/>
      <c r="F318" s="104"/>
      <c r="G318" s="104"/>
      <c r="H318" s="105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</row>
    <row r="319">
      <c r="A319" s="104"/>
      <c r="B319" s="104"/>
      <c r="C319" s="104"/>
      <c r="D319" s="104"/>
      <c r="E319" s="104"/>
      <c r="F319" s="104"/>
      <c r="G319" s="104"/>
      <c r="H319" s="105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</row>
    <row r="320">
      <c r="A320" s="104"/>
      <c r="B320" s="104"/>
      <c r="C320" s="104"/>
      <c r="D320" s="104"/>
      <c r="E320" s="104"/>
      <c r="F320" s="104"/>
      <c r="G320" s="104"/>
      <c r="H320" s="105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</row>
    <row r="321">
      <c r="A321" s="104"/>
      <c r="B321" s="104"/>
      <c r="C321" s="104"/>
      <c r="D321" s="104"/>
      <c r="E321" s="104"/>
      <c r="F321" s="104"/>
      <c r="G321" s="104"/>
      <c r="H321" s="105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</row>
    <row r="322">
      <c r="A322" s="104"/>
      <c r="B322" s="104"/>
      <c r="C322" s="104"/>
      <c r="D322" s="104"/>
      <c r="E322" s="104"/>
      <c r="F322" s="104"/>
      <c r="G322" s="104"/>
      <c r="H322" s="105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</row>
    <row r="323">
      <c r="A323" s="104"/>
      <c r="B323" s="104"/>
      <c r="C323" s="104"/>
      <c r="D323" s="104"/>
      <c r="E323" s="104"/>
      <c r="F323" s="104"/>
      <c r="G323" s="104"/>
      <c r="H323" s="105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</row>
    <row r="324">
      <c r="A324" s="104"/>
      <c r="B324" s="104"/>
      <c r="C324" s="104"/>
      <c r="D324" s="104"/>
      <c r="E324" s="104"/>
      <c r="F324" s="104"/>
      <c r="G324" s="104"/>
      <c r="H324" s="105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</row>
    <row r="325">
      <c r="A325" s="104"/>
      <c r="B325" s="104"/>
      <c r="C325" s="104"/>
      <c r="D325" s="104"/>
      <c r="E325" s="104"/>
      <c r="F325" s="104"/>
      <c r="G325" s="104"/>
      <c r="H325" s="105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</row>
    <row r="326">
      <c r="A326" s="104"/>
      <c r="B326" s="104"/>
      <c r="C326" s="104"/>
      <c r="D326" s="104"/>
      <c r="E326" s="104"/>
      <c r="F326" s="104"/>
      <c r="G326" s="104"/>
      <c r="H326" s="105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</row>
    <row r="327">
      <c r="A327" s="104"/>
      <c r="B327" s="104"/>
      <c r="C327" s="104"/>
      <c r="D327" s="104"/>
      <c r="E327" s="104"/>
      <c r="F327" s="104"/>
      <c r="G327" s="104"/>
      <c r="H327" s="105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</row>
    <row r="328">
      <c r="A328" s="104"/>
      <c r="B328" s="104"/>
      <c r="C328" s="104"/>
      <c r="D328" s="104"/>
      <c r="E328" s="104"/>
      <c r="F328" s="104"/>
      <c r="G328" s="104"/>
      <c r="H328" s="105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</row>
    <row r="329">
      <c r="A329" s="104"/>
      <c r="B329" s="104"/>
      <c r="C329" s="104"/>
      <c r="D329" s="104"/>
      <c r="E329" s="104"/>
      <c r="F329" s="104"/>
      <c r="G329" s="104"/>
      <c r="H329" s="105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</row>
    <row r="330">
      <c r="A330" s="104"/>
      <c r="B330" s="104"/>
      <c r="C330" s="104"/>
      <c r="D330" s="104"/>
      <c r="E330" s="104"/>
      <c r="F330" s="104"/>
      <c r="G330" s="104"/>
      <c r="H330" s="105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</row>
    <row r="331">
      <c r="A331" s="104"/>
      <c r="B331" s="104"/>
      <c r="C331" s="104"/>
      <c r="D331" s="104"/>
      <c r="E331" s="104"/>
      <c r="F331" s="104"/>
      <c r="G331" s="104"/>
      <c r="H331" s="105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</row>
    <row r="332">
      <c r="A332" s="104"/>
      <c r="B332" s="104"/>
      <c r="C332" s="104"/>
      <c r="D332" s="104"/>
      <c r="E332" s="104"/>
      <c r="F332" s="104"/>
      <c r="G332" s="104"/>
      <c r="H332" s="105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</row>
    <row r="333">
      <c r="A333" s="104"/>
      <c r="B333" s="104"/>
      <c r="C333" s="104"/>
      <c r="D333" s="104"/>
      <c r="E333" s="104"/>
      <c r="F333" s="104"/>
      <c r="G333" s="104"/>
      <c r="H333" s="105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</row>
    <row r="334">
      <c r="A334" s="104"/>
      <c r="B334" s="104"/>
      <c r="C334" s="104"/>
      <c r="D334" s="104"/>
      <c r="E334" s="104"/>
      <c r="F334" s="104"/>
      <c r="G334" s="104"/>
      <c r="H334" s="105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</row>
    <row r="335">
      <c r="A335" s="104"/>
      <c r="B335" s="104"/>
      <c r="C335" s="104"/>
      <c r="D335" s="104"/>
      <c r="E335" s="104"/>
      <c r="F335" s="104"/>
      <c r="G335" s="104"/>
      <c r="H335" s="105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</row>
    <row r="336">
      <c r="A336" s="104"/>
      <c r="B336" s="104"/>
      <c r="C336" s="104"/>
      <c r="D336" s="104"/>
      <c r="E336" s="104"/>
      <c r="F336" s="104"/>
      <c r="G336" s="104"/>
      <c r="H336" s="105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</row>
    <row r="337">
      <c r="A337" s="104"/>
      <c r="B337" s="104"/>
      <c r="C337" s="104"/>
      <c r="D337" s="104"/>
      <c r="E337" s="104"/>
      <c r="F337" s="104"/>
      <c r="G337" s="104"/>
      <c r="H337" s="105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</row>
    <row r="338">
      <c r="A338" s="104"/>
      <c r="B338" s="104"/>
      <c r="C338" s="104"/>
      <c r="D338" s="104"/>
      <c r="E338" s="104"/>
      <c r="F338" s="104"/>
      <c r="G338" s="104"/>
      <c r="H338" s="105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</row>
    <row r="339">
      <c r="A339" s="104"/>
      <c r="B339" s="104"/>
      <c r="C339" s="104"/>
      <c r="D339" s="104"/>
      <c r="E339" s="104"/>
      <c r="F339" s="104"/>
      <c r="G339" s="104"/>
      <c r="H339" s="105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</row>
    <row r="340">
      <c r="A340" s="104"/>
      <c r="B340" s="104"/>
      <c r="C340" s="104"/>
      <c r="D340" s="104"/>
      <c r="E340" s="104"/>
      <c r="F340" s="104"/>
      <c r="G340" s="104"/>
      <c r="H340" s="105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</row>
    <row r="341">
      <c r="A341" s="104"/>
      <c r="B341" s="104"/>
      <c r="C341" s="104"/>
      <c r="D341" s="104"/>
      <c r="E341" s="104"/>
      <c r="F341" s="104"/>
      <c r="G341" s="104"/>
      <c r="H341" s="105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</row>
    <row r="342">
      <c r="A342" s="104"/>
      <c r="B342" s="104"/>
      <c r="C342" s="104"/>
      <c r="D342" s="104"/>
      <c r="E342" s="104"/>
      <c r="F342" s="104"/>
      <c r="G342" s="104"/>
      <c r="H342" s="105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</row>
    <row r="343">
      <c r="A343" s="104"/>
      <c r="B343" s="104"/>
      <c r="C343" s="104"/>
      <c r="D343" s="104"/>
      <c r="E343" s="104"/>
      <c r="F343" s="104"/>
      <c r="G343" s="104"/>
      <c r="H343" s="105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</row>
    <row r="344">
      <c r="A344" s="104"/>
      <c r="B344" s="104"/>
      <c r="C344" s="104"/>
      <c r="D344" s="104"/>
      <c r="E344" s="104"/>
      <c r="F344" s="104"/>
      <c r="G344" s="104"/>
      <c r="H344" s="105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</row>
    <row r="345">
      <c r="A345" s="104"/>
      <c r="B345" s="104"/>
      <c r="C345" s="104"/>
      <c r="D345" s="104"/>
      <c r="E345" s="104"/>
      <c r="F345" s="104"/>
      <c r="G345" s="104"/>
      <c r="H345" s="105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</row>
    <row r="346">
      <c r="A346" s="104"/>
      <c r="B346" s="104"/>
      <c r="C346" s="104"/>
      <c r="D346" s="104"/>
      <c r="E346" s="104"/>
      <c r="F346" s="104"/>
      <c r="G346" s="104"/>
      <c r="H346" s="105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</row>
    <row r="347">
      <c r="A347" s="104"/>
      <c r="B347" s="104"/>
      <c r="C347" s="104"/>
      <c r="D347" s="104"/>
      <c r="E347" s="104"/>
      <c r="F347" s="104"/>
      <c r="G347" s="104"/>
      <c r="H347" s="105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</row>
    <row r="348">
      <c r="A348" s="104"/>
      <c r="B348" s="104"/>
      <c r="C348" s="104"/>
      <c r="D348" s="104"/>
      <c r="E348" s="104"/>
      <c r="F348" s="104"/>
      <c r="G348" s="104"/>
      <c r="H348" s="105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</row>
    <row r="349">
      <c r="A349" s="104"/>
      <c r="B349" s="104"/>
      <c r="C349" s="104"/>
      <c r="D349" s="104"/>
      <c r="E349" s="104"/>
      <c r="F349" s="104"/>
      <c r="G349" s="104"/>
      <c r="H349" s="105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</row>
    <row r="350">
      <c r="A350" s="104"/>
      <c r="B350" s="104"/>
      <c r="C350" s="104"/>
      <c r="D350" s="104"/>
      <c r="E350" s="104"/>
      <c r="F350" s="104"/>
      <c r="G350" s="104"/>
      <c r="H350" s="105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</row>
    <row r="351">
      <c r="A351" s="104"/>
      <c r="B351" s="104"/>
      <c r="C351" s="104"/>
      <c r="D351" s="104"/>
      <c r="E351" s="104"/>
      <c r="F351" s="104"/>
      <c r="G351" s="104"/>
      <c r="H351" s="105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</row>
    <row r="352">
      <c r="A352" s="104"/>
      <c r="B352" s="104"/>
      <c r="C352" s="104"/>
      <c r="D352" s="104"/>
      <c r="E352" s="104"/>
      <c r="F352" s="104"/>
      <c r="G352" s="104"/>
      <c r="H352" s="105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</row>
    <row r="353">
      <c r="A353" s="104"/>
      <c r="B353" s="104"/>
      <c r="C353" s="104"/>
      <c r="D353" s="104"/>
      <c r="E353" s="104"/>
      <c r="F353" s="104"/>
      <c r="G353" s="104"/>
      <c r="H353" s="105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</row>
    <row r="354">
      <c r="A354" s="104"/>
      <c r="B354" s="104"/>
      <c r="C354" s="104"/>
      <c r="D354" s="104"/>
      <c r="E354" s="104"/>
      <c r="F354" s="104"/>
      <c r="G354" s="104"/>
      <c r="H354" s="105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</row>
    <row r="355">
      <c r="A355" s="104"/>
      <c r="B355" s="104"/>
      <c r="C355" s="104"/>
      <c r="D355" s="104"/>
      <c r="E355" s="104"/>
      <c r="F355" s="104"/>
      <c r="G355" s="104"/>
      <c r="H355" s="105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</row>
    <row r="356">
      <c r="A356" s="104"/>
      <c r="B356" s="104"/>
      <c r="C356" s="104"/>
      <c r="D356" s="104"/>
      <c r="E356" s="104"/>
      <c r="F356" s="104"/>
      <c r="G356" s="104"/>
      <c r="H356" s="105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</row>
    <row r="357">
      <c r="A357" s="104"/>
      <c r="B357" s="104"/>
      <c r="C357" s="104"/>
      <c r="D357" s="104"/>
      <c r="E357" s="104"/>
      <c r="F357" s="104"/>
      <c r="G357" s="104"/>
      <c r="H357" s="105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</row>
    <row r="358">
      <c r="A358" s="104"/>
      <c r="B358" s="104"/>
      <c r="C358" s="104"/>
      <c r="D358" s="104"/>
      <c r="E358" s="104"/>
      <c r="F358" s="104"/>
      <c r="G358" s="104"/>
      <c r="H358" s="105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</row>
    <row r="359">
      <c r="A359" s="104"/>
      <c r="B359" s="104"/>
      <c r="C359" s="104"/>
      <c r="D359" s="104"/>
      <c r="E359" s="104"/>
      <c r="F359" s="104"/>
      <c r="G359" s="104"/>
      <c r="H359" s="105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</row>
    <row r="360">
      <c r="A360" s="104"/>
      <c r="B360" s="104"/>
      <c r="C360" s="104"/>
      <c r="D360" s="104"/>
      <c r="E360" s="104"/>
      <c r="F360" s="104"/>
      <c r="G360" s="104"/>
      <c r="H360" s="105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</row>
    <row r="361">
      <c r="A361" s="104"/>
      <c r="B361" s="104"/>
      <c r="C361" s="104"/>
      <c r="D361" s="104"/>
      <c r="E361" s="104"/>
      <c r="F361" s="104"/>
      <c r="G361" s="104"/>
      <c r="H361" s="105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</row>
    <row r="362">
      <c r="A362" s="104"/>
      <c r="B362" s="104"/>
      <c r="C362" s="104"/>
      <c r="D362" s="104"/>
      <c r="E362" s="104"/>
      <c r="F362" s="104"/>
      <c r="G362" s="104"/>
      <c r="H362" s="105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</row>
    <row r="363">
      <c r="A363" s="104"/>
      <c r="B363" s="104"/>
      <c r="C363" s="104"/>
      <c r="D363" s="104"/>
      <c r="E363" s="104"/>
      <c r="F363" s="104"/>
      <c r="G363" s="104"/>
      <c r="H363" s="105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</row>
    <row r="364">
      <c r="A364" s="104"/>
      <c r="B364" s="104"/>
      <c r="C364" s="104"/>
      <c r="D364" s="104"/>
      <c r="E364" s="104"/>
      <c r="F364" s="104"/>
      <c r="G364" s="104"/>
      <c r="H364" s="105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</row>
    <row r="365">
      <c r="A365" s="104"/>
      <c r="B365" s="104"/>
      <c r="C365" s="104"/>
      <c r="D365" s="104"/>
      <c r="E365" s="104"/>
      <c r="F365" s="104"/>
      <c r="G365" s="104"/>
      <c r="H365" s="105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</row>
    <row r="366">
      <c r="A366" s="104"/>
      <c r="B366" s="104"/>
      <c r="C366" s="104"/>
      <c r="D366" s="104"/>
      <c r="E366" s="104"/>
      <c r="F366" s="104"/>
      <c r="G366" s="104"/>
      <c r="H366" s="105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</row>
    <row r="367">
      <c r="A367" s="104"/>
      <c r="B367" s="104"/>
      <c r="C367" s="104"/>
      <c r="D367" s="104"/>
      <c r="E367" s="104"/>
      <c r="F367" s="104"/>
      <c r="G367" s="104"/>
      <c r="H367" s="105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</row>
    <row r="368">
      <c r="A368" s="104"/>
      <c r="B368" s="104"/>
      <c r="C368" s="104"/>
      <c r="D368" s="104"/>
      <c r="E368" s="104"/>
      <c r="F368" s="104"/>
      <c r="G368" s="104"/>
      <c r="H368" s="105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</row>
    <row r="369">
      <c r="A369" s="104"/>
      <c r="B369" s="104"/>
      <c r="C369" s="104"/>
      <c r="D369" s="104"/>
      <c r="E369" s="104"/>
      <c r="F369" s="104"/>
      <c r="G369" s="104"/>
      <c r="H369" s="105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</row>
    <row r="370">
      <c r="A370" s="104"/>
      <c r="B370" s="104"/>
      <c r="C370" s="104"/>
      <c r="D370" s="104"/>
      <c r="E370" s="104"/>
      <c r="F370" s="104"/>
      <c r="G370" s="104"/>
      <c r="H370" s="105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</row>
    <row r="371">
      <c r="A371" s="104"/>
      <c r="B371" s="104"/>
      <c r="C371" s="104"/>
      <c r="D371" s="104"/>
      <c r="E371" s="104"/>
      <c r="F371" s="104"/>
      <c r="G371" s="104"/>
      <c r="H371" s="105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</row>
    <row r="372">
      <c r="A372" s="104"/>
      <c r="B372" s="104"/>
      <c r="C372" s="104"/>
      <c r="D372" s="104"/>
      <c r="E372" s="104"/>
      <c r="F372" s="104"/>
      <c r="G372" s="104"/>
      <c r="H372" s="105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</row>
    <row r="373">
      <c r="A373" s="104"/>
      <c r="B373" s="104"/>
      <c r="C373" s="104"/>
      <c r="D373" s="104"/>
      <c r="E373" s="104"/>
      <c r="F373" s="104"/>
      <c r="G373" s="104"/>
      <c r="H373" s="105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</row>
    <row r="374">
      <c r="A374" s="104"/>
      <c r="B374" s="104"/>
      <c r="C374" s="104"/>
      <c r="D374" s="104"/>
      <c r="E374" s="104"/>
      <c r="F374" s="104"/>
      <c r="G374" s="104"/>
      <c r="H374" s="105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</row>
    <row r="375">
      <c r="A375" s="104"/>
      <c r="B375" s="104"/>
      <c r="C375" s="104"/>
      <c r="D375" s="104"/>
      <c r="E375" s="104"/>
      <c r="F375" s="104"/>
      <c r="G375" s="104"/>
      <c r="H375" s="105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</row>
    <row r="376">
      <c r="A376" s="104"/>
      <c r="B376" s="104"/>
      <c r="C376" s="104"/>
      <c r="D376" s="104"/>
      <c r="E376" s="104"/>
      <c r="F376" s="104"/>
      <c r="G376" s="104"/>
      <c r="H376" s="105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</row>
    <row r="377">
      <c r="A377" s="104"/>
      <c r="B377" s="104"/>
      <c r="C377" s="104"/>
      <c r="D377" s="104"/>
      <c r="E377" s="104"/>
      <c r="F377" s="104"/>
      <c r="G377" s="104"/>
      <c r="H377" s="105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</row>
    <row r="378">
      <c r="A378" s="104"/>
      <c r="B378" s="104"/>
      <c r="C378" s="104"/>
      <c r="D378" s="104"/>
      <c r="E378" s="104"/>
      <c r="F378" s="104"/>
      <c r="G378" s="104"/>
      <c r="H378" s="105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</row>
    <row r="379">
      <c r="A379" s="104"/>
      <c r="B379" s="104"/>
      <c r="C379" s="104"/>
      <c r="D379" s="104"/>
      <c r="E379" s="104"/>
      <c r="F379" s="104"/>
      <c r="G379" s="104"/>
      <c r="H379" s="105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</row>
    <row r="380">
      <c r="A380" s="104"/>
      <c r="B380" s="104"/>
      <c r="C380" s="104"/>
      <c r="D380" s="104"/>
      <c r="E380" s="104"/>
      <c r="F380" s="104"/>
      <c r="G380" s="104"/>
      <c r="H380" s="105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</row>
    <row r="381">
      <c r="A381" s="104"/>
      <c r="B381" s="104"/>
      <c r="C381" s="104"/>
      <c r="D381" s="104"/>
      <c r="E381" s="104"/>
      <c r="F381" s="104"/>
      <c r="G381" s="104"/>
      <c r="H381" s="105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</row>
    <row r="382">
      <c r="A382" s="104"/>
      <c r="B382" s="104"/>
      <c r="C382" s="104"/>
      <c r="D382" s="104"/>
      <c r="E382" s="104"/>
      <c r="F382" s="104"/>
      <c r="G382" s="104"/>
      <c r="H382" s="105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</row>
    <row r="383">
      <c r="A383" s="104"/>
      <c r="B383" s="104"/>
      <c r="C383" s="104"/>
      <c r="D383" s="104"/>
      <c r="E383" s="104"/>
      <c r="F383" s="104"/>
      <c r="G383" s="104"/>
      <c r="H383" s="105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</row>
    <row r="384">
      <c r="A384" s="104"/>
      <c r="B384" s="104"/>
      <c r="C384" s="104"/>
      <c r="D384" s="104"/>
      <c r="E384" s="104"/>
      <c r="F384" s="104"/>
      <c r="G384" s="104"/>
      <c r="H384" s="105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</row>
    <row r="385">
      <c r="A385" s="104"/>
      <c r="B385" s="104"/>
      <c r="C385" s="104"/>
      <c r="D385" s="104"/>
      <c r="E385" s="104"/>
      <c r="F385" s="104"/>
      <c r="G385" s="104"/>
      <c r="H385" s="105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</row>
    <row r="386">
      <c r="A386" s="104"/>
      <c r="B386" s="104"/>
      <c r="C386" s="104"/>
      <c r="D386" s="104"/>
      <c r="E386" s="104"/>
      <c r="F386" s="104"/>
      <c r="G386" s="104"/>
      <c r="H386" s="105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</row>
    <row r="387">
      <c r="A387" s="104"/>
      <c r="B387" s="104"/>
      <c r="C387" s="104"/>
      <c r="D387" s="104"/>
      <c r="E387" s="104"/>
      <c r="F387" s="104"/>
      <c r="G387" s="104"/>
      <c r="H387" s="105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</row>
    <row r="388">
      <c r="A388" s="104"/>
      <c r="B388" s="104"/>
      <c r="C388" s="104"/>
      <c r="D388" s="104"/>
      <c r="E388" s="104"/>
      <c r="F388" s="104"/>
      <c r="G388" s="104"/>
      <c r="H388" s="105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</row>
    <row r="389">
      <c r="A389" s="104"/>
      <c r="B389" s="104"/>
      <c r="C389" s="104"/>
      <c r="D389" s="104"/>
      <c r="E389" s="104"/>
      <c r="F389" s="104"/>
      <c r="G389" s="104"/>
      <c r="H389" s="105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</row>
    <row r="390">
      <c r="A390" s="104"/>
      <c r="B390" s="104"/>
      <c r="C390" s="104"/>
      <c r="D390" s="104"/>
      <c r="E390" s="104"/>
      <c r="F390" s="104"/>
      <c r="G390" s="104"/>
      <c r="H390" s="105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</row>
    <row r="391">
      <c r="A391" s="104"/>
      <c r="B391" s="104"/>
      <c r="C391" s="104"/>
      <c r="D391" s="104"/>
      <c r="E391" s="104"/>
      <c r="F391" s="104"/>
      <c r="G391" s="104"/>
      <c r="H391" s="105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</row>
    <row r="392">
      <c r="A392" s="104"/>
      <c r="B392" s="104"/>
      <c r="C392" s="104"/>
      <c r="D392" s="104"/>
      <c r="E392" s="104"/>
      <c r="F392" s="104"/>
      <c r="G392" s="104"/>
      <c r="H392" s="105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</row>
    <row r="393">
      <c r="A393" s="104"/>
      <c r="B393" s="104"/>
      <c r="C393" s="104"/>
      <c r="D393" s="104"/>
      <c r="E393" s="104"/>
      <c r="F393" s="104"/>
      <c r="G393" s="104"/>
      <c r="H393" s="105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</row>
    <row r="394">
      <c r="A394" s="104"/>
      <c r="B394" s="104"/>
      <c r="C394" s="104"/>
      <c r="D394" s="104"/>
      <c r="E394" s="104"/>
      <c r="F394" s="104"/>
      <c r="G394" s="104"/>
      <c r="H394" s="105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</row>
    <row r="395">
      <c r="A395" s="104"/>
      <c r="B395" s="104"/>
      <c r="C395" s="104"/>
      <c r="D395" s="104"/>
      <c r="E395" s="104"/>
      <c r="F395" s="104"/>
      <c r="G395" s="104"/>
      <c r="H395" s="105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</row>
    <row r="396">
      <c r="A396" s="104"/>
      <c r="B396" s="104"/>
      <c r="C396" s="104"/>
      <c r="D396" s="104"/>
      <c r="E396" s="104"/>
      <c r="F396" s="104"/>
      <c r="G396" s="104"/>
      <c r="H396" s="105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</row>
    <row r="397">
      <c r="A397" s="104"/>
      <c r="B397" s="104"/>
      <c r="C397" s="104"/>
      <c r="D397" s="104"/>
      <c r="E397" s="104"/>
      <c r="F397" s="104"/>
      <c r="G397" s="104"/>
      <c r="H397" s="105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</row>
    <row r="398">
      <c r="A398" s="104"/>
      <c r="B398" s="104"/>
      <c r="C398" s="104"/>
      <c r="D398" s="104"/>
      <c r="E398" s="104"/>
      <c r="F398" s="104"/>
      <c r="G398" s="104"/>
      <c r="H398" s="105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</row>
    <row r="399">
      <c r="A399" s="104"/>
      <c r="B399" s="104"/>
      <c r="C399" s="104"/>
      <c r="D399" s="104"/>
      <c r="E399" s="104"/>
      <c r="F399" s="104"/>
      <c r="G399" s="104"/>
      <c r="H399" s="105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</row>
    <row r="400">
      <c r="A400" s="104"/>
      <c r="B400" s="104"/>
      <c r="C400" s="104"/>
      <c r="D400" s="104"/>
      <c r="E400" s="104"/>
      <c r="F400" s="104"/>
      <c r="G400" s="104"/>
      <c r="H400" s="105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</row>
    <row r="401">
      <c r="A401" s="104"/>
      <c r="B401" s="104"/>
      <c r="C401" s="104"/>
      <c r="D401" s="104"/>
      <c r="E401" s="104"/>
      <c r="F401" s="104"/>
      <c r="G401" s="104"/>
      <c r="H401" s="105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</row>
    <row r="402">
      <c r="A402" s="104"/>
      <c r="B402" s="104"/>
      <c r="C402" s="104"/>
      <c r="D402" s="104"/>
      <c r="E402" s="104"/>
      <c r="F402" s="104"/>
      <c r="G402" s="104"/>
      <c r="H402" s="105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</row>
    <row r="403">
      <c r="A403" s="104"/>
      <c r="B403" s="104"/>
      <c r="C403" s="104"/>
      <c r="D403" s="104"/>
      <c r="E403" s="104"/>
      <c r="F403" s="104"/>
      <c r="G403" s="104"/>
      <c r="H403" s="105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</row>
    <row r="404">
      <c r="A404" s="104"/>
      <c r="B404" s="104"/>
      <c r="C404" s="104"/>
      <c r="D404" s="104"/>
      <c r="E404" s="104"/>
      <c r="F404" s="104"/>
      <c r="G404" s="104"/>
      <c r="H404" s="105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</row>
    <row r="405">
      <c r="A405" s="104"/>
      <c r="B405" s="104"/>
      <c r="C405" s="104"/>
      <c r="D405" s="104"/>
      <c r="E405" s="104"/>
      <c r="F405" s="104"/>
      <c r="G405" s="104"/>
      <c r="H405" s="105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</row>
    <row r="406">
      <c r="A406" s="104"/>
      <c r="B406" s="104"/>
      <c r="C406" s="104"/>
      <c r="D406" s="104"/>
      <c r="E406" s="104"/>
      <c r="F406" s="104"/>
      <c r="G406" s="104"/>
      <c r="H406" s="105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</row>
    <row r="407">
      <c r="A407" s="104"/>
      <c r="B407" s="104"/>
      <c r="C407" s="104"/>
      <c r="D407" s="104"/>
      <c r="E407" s="104"/>
      <c r="F407" s="104"/>
      <c r="G407" s="104"/>
      <c r="H407" s="105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</row>
    <row r="408">
      <c r="A408" s="104"/>
      <c r="B408" s="104"/>
      <c r="C408" s="104"/>
      <c r="D408" s="104"/>
      <c r="E408" s="104"/>
      <c r="F408" s="104"/>
      <c r="G408" s="104"/>
      <c r="H408" s="105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</row>
    <row r="409">
      <c r="A409" s="104"/>
      <c r="B409" s="104"/>
      <c r="C409" s="104"/>
      <c r="D409" s="104"/>
      <c r="E409" s="104"/>
      <c r="F409" s="104"/>
      <c r="G409" s="104"/>
      <c r="H409" s="105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</row>
    <row r="410">
      <c r="A410" s="104"/>
      <c r="B410" s="104"/>
      <c r="C410" s="104"/>
      <c r="D410" s="104"/>
      <c r="E410" s="104"/>
      <c r="F410" s="104"/>
      <c r="G410" s="104"/>
      <c r="H410" s="105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</row>
    <row r="411">
      <c r="A411" s="104"/>
      <c r="B411" s="104"/>
      <c r="C411" s="104"/>
      <c r="D411" s="104"/>
      <c r="E411" s="104"/>
      <c r="F411" s="104"/>
      <c r="G411" s="104"/>
      <c r="H411" s="105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</row>
    <row r="412">
      <c r="A412" s="104"/>
      <c r="B412" s="104"/>
      <c r="C412" s="104"/>
      <c r="D412" s="104"/>
      <c r="E412" s="104"/>
      <c r="F412" s="104"/>
      <c r="G412" s="104"/>
      <c r="H412" s="105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</row>
    <row r="413">
      <c r="A413" s="104"/>
      <c r="B413" s="104"/>
      <c r="C413" s="104"/>
      <c r="D413" s="104"/>
      <c r="E413" s="104"/>
      <c r="F413" s="104"/>
      <c r="G413" s="104"/>
      <c r="H413" s="105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</row>
    <row r="414">
      <c r="A414" s="104"/>
      <c r="B414" s="104"/>
      <c r="C414" s="104"/>
      <c r="D414" s="104"/>
      <c r="E414" s="104"/>
      <c r="F414" s="104"/>
      <c r="G414" s="104"/>
      <c r="H414" s="105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</row>
    <row r="415">
      <c r="A415" s="104"/>
      <c r="B415" s="104"/>
      <c r="C415" s="104"/>
      <c r="D415" s="104"/>
      <c r="E415" s="104"/>
      <c r="F415" s="104"/>
      <c r="G415" s="104"/>
      <c r="H415" s="105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</row>
    <row r="416">
      <c r="A416" s="104"/>
      <c r="B416" s="104"/>
      <c r="C416" s="104"/>
      <c r="D416" s="104"/>
      <c r="E416" s="104"/>
      <c r="F416" s="104"/>
      <c r="G416" s="104"/>
      <c r="H416" s="105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</row>
    <row r="417">
      <c r="A417" s="104"/>
      <c r="B417" s="104"/>
      <c r="C417" s="104"/>
      <c r="D417" s="104"/>
      <c r="E417" s="104"/>
      <c r="F417" s="104"/>
      <c r="G417" s="104"/>
      <c r="H417" s="105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</row>
    <row r="418">
      <c r="A418" s="104"/>
      <c r="B418" s="104"/>
      <c r="C418" s="104"/>
      <c r="D418" s="104"/>
      <c r="E418" s="104"/>
      <c r="F418" s="104"/>
      <c r="G418" s="104"/>
      <c r="H418" s="105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</row>
    <row r="419">
      <c r="A419" s="104"/>
      <c r="B419" s="104"/>
      <c r="C419" s="104"/>
      <c r="D419" s="104"/>
      <c r="E419" s="104"/>
      <c r="F419" s="104"/>
      <c r="G419" s="104"/>
      <c r="H419" s="105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</row>
    <row r="420">
      <c r="A420" s="104"/>
      <c r="B420" s="104"/>
      <c r="C420" s="104"/>
      <c r="D420" s="104"/>
      <c r="E420" s="104"/>
      <c r="F420" s="104"/>
      <c r="G420" s="104"/>
      <c r="H420" s="105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</row>
    <row r="421">
      <c r="A421" s="104"/>
      <c r="B421" s="104"/>
      <c r="C421" s="104"/>
      <c r="D421" s="104"/>
      <c r="E421" s="104"/>
      <c r="F421" s="104"/>
      <c r="G421" s="104"/>
      <c r="H421" s="105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</row>
    <row r="422">
      <c r="A422" s="104"/>
      <c r="B422" s="104"/>
      <c r="C422" s="104"/>
      <c r="D422" s="104"/>
      <c r="E422" s="104"/>
      <c r="F422" s="104"/>
      <c r="G422" s="104"/>
      <c r="H422" s="105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</row>
    <row r="423">
      <c r="A423" s="104"/>
      <c r="B423" s="104"/>
      <c r="C423" s="104"/>
      <c r="D423" s="104"/>
      <c r="E423" s="104"/>
      <c r="F423" s="104"/>
      <c r="G423" s="104"/>
      <c r="H423" s="105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</row>
    <row r="424">
      <c r="A424" s="104"/>
      <c r="B424" s="104"/>
      <c r="C424" s="104"/>
      <c r="D424" s="104"/>
      <c r="E424" s="104"/>
      <c r="F424" s="104"/>
      <c r="G424" s="104"/>
      <c r="H424" s="105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</row>
    <row r="425">
      <c r="A425" s="104"/>
      <c r="B425" s="104"/>
      <c r="C425" s="104"/>
      <c r="D425" s="104"/>
      <c r="E425" s="104"/>
      <c r="F425" s="104"/>
      <c r="G425" s="104"/>
      <c r="H425" s="105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</row>
    <row r="426">
      <c r="A426" s="104"/>
      <c r="B426" s="104"/>
      <c r="C426" s="104"/>
      <c r="D426" s="104"/>
      <c r="E426" s="104"/>
      <c r="F426" s="104"/>
      <c r="G426" s="104"/>
      <c r="H426" s="105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</row>
    <row r="427">
      <c r="A427" s="104"/>
      <c r="B427" s="104"/>
      <c r="C427" s="104"/>
      <c r="D427" s="104"/>
      <c r="E427" s="104"/>
      <c r="F427" s="104"/>
      <c r="G427" s="104"/>
      <c r="H427" s="105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</row>
    <row r="428">
      <c r="A428" s="104"/>
      <c r="B428" s="104"/>
      <c r="C428" s="104"/>
      <c r="D428" s="104"/>
      <c r="E428" s="104"/>
      <c r="F428" s="104"/>
      <c r="G428" s="104"/>
      <c r="H428" s="105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</row>
    <row r="429">
      <c r="A429" s="104"/>
      <c r="B429" s="104"/>
      <c r="C429" s="104"/>
      <c r="D429" s="104"/>
      <c r="E429" s="104"/>
      <c r="F429" s="104"/>
      <c r="G429" s="104"/>
      <c r="H429" s="105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</row>
    <row r="430">
      <c r="A430" s="104"/>
      <c r="B430" s="104"/>
      <c r="C430" s="104"/>
      <c r="D430" s="104"/>
      <c r="E430" s="104"/>
      <c r="F430" s="104"/>
      <c r="G430" s="104"/>
      <c r="H430" s="105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</row>
    <row r="431">
      <c r="A431" s="104"/>
      <c r="B431" s="104"/>
      <c r="C431" s="104"/>
      <c r="D431" s="104"/>
      <c r="E431" s="104"/>
      <c r="F431" s="104"/>
      <c r="G431" s="104"/>
      <c r="H431" s="105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</row>
    <row r="432">
      <c r="A432" s="104"/>
      <c r="B432" s="104"/>
      <c r="C432" s="104"/>
      <c r="D432" s="104"/>
      <c r="E432" s="104"/>
      <c r="F432" s="104"/>
      <c r="G432" s="104"/>
      <c r="H432" s="105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</row>
    <row r="433">
      <c r="A433" s="104"/>
      <c r="B433" s="104"/>
      <c r="C433" s="104"/>
      <c r="D433" s="104"/>
      <c r="E433" s="104"/>
      <c r="F433" s="104"/>
      <c r="G433" s="104"/>
      <c r="H433" s="105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  <c r="AB433" s="104"/>
      <c r="AC433" s="104"/>
    </row>
    <row r="434">
      <c r="A434" s="104"/>
      <c r="B434" s="104"/>
      <c r="C434" s="104"/>
      <c r="D434" s="104"/>
      <c r="E434" s="104"/>
      <c r="F434" s="104"/>
      <c r="G434" s="104"/>
      <c r="H434" s="105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  <c r="AB434" s="104"/>
      <c r="AC434" s="104"/>
    </row>
    <row r="435">
      <c r="A435" s="104"/>
      <c r="B435" s="104"/>
      <c r="C435" s="104"/>
      <c r="D435" s="104"/>
      <c r="E435" s="104"/>
      <c r="F435" s="104"/>
      <c r="G435" s="104"/>
      <c r="H435" s="105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  <c r="AB435" s="104"/>
      <c r="AC435" s="104"/>
    </row>
    <row r="436">
      <c r="A436" s="104"/>
      <c r="B436" s="104"/>
      <c r="C436" s="104"/>
      <c r="D436" s="104"/>
      <c r="E436" s="104"/>
      <c r="F436" s="104"/>
      <c r="G436" s="104"/>
      <c r="H436" s="105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</row>
    <row r="437">
      <c r="A437" s="104"/>
      <c r="B437" s="104"/>
      <c r="C437" s="104"/>
      <c r="D437" s="104"/>
      <c r="E437" s="104"/>
      <c r="F437" s="104"/>
      <c r="G437" s="104"/>
      <c r="H437" s="105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  <c r="AB437" s="104"/>
      <c r="AC437" s="104"/>
    </row>
    <row r="438">
      <c r="A438" s="104"/>
      <c r="B438" s="104"/>
      <c r="C438" s="104"/>
      <c r="D438" s="104"/>
      <c r="E438" s="104"/>
      <c r="F438" s="104"/>
      <c r="G438" s="104"/>
      <c r="H438" s="105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</row>
    <row r="439">
      <c r="A439" s="104"/>
      <c r="B439" s="104"/>
      <c r="C439" s="104"/>
      <c r="D439" s="104"/>
      <c r="E439" s="104"/>
      <c r="F439" s="104"/>
      <c r="G439" s="104"/>
      <c r="H439" s="105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  <c r="AB439" s="104"/>
      <c r="AC439" s="104"/>
    </row>
    <row r="440">
      <c r="A440" s="104"/>
      <c r="B440" s="104"/>
      <c r="C440" s="104"/>
      <c r="D440" s="104"/>
      <c r="E440" s="104"/>
      <c r="F440" s="104"/>
      <c r="G440" s="104"/>
      <c r="H440" s="105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  <c r="AB440" s="104"/>
      <c r="AC440" s="104"/>
    </row>
    <row r="441">
      <c r="A441" s="104"/>
      <c r="B441" s="104"/>
      <c r="C441" s="104"/>
      <c r="D441" s="104"/>
      <c r="E441" s="104"/>
      <c r="F441" s="104"/>
      <c r="G441" s="104"/>
      <c r="H441" s="105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  <c r="AB441" s="104"/>
      <c r="AC441" s="104"/>
    </row>
    <row r="442">
      <c r="A442" s="104"/>
      <c r="B442" s="104"/>
      <c r="C442" s="104"/>
      <c r="D442" s="104"/>
      <c r="E442" s="104"/>
      <c r="F442" s="104"/>
      <c r="G442" s="104"/>
      <c r="H442" s="105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  <c r="AB442" s="104"/>
      <c r="AC442" s="104"/>
    </row>
    <row r="443">
      <c r="A443" s="104"/>
      <c r="B443" s="104"/>
      <c r="C443" s="104"/>
      <c r="D443" s="104"/>
      <c r="E443" s="104"/>
      <c r="F443" s="104"/>
      <c r="G443" s="104"/>
      <c r="H443" s="105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  <c r="AB443" s="104"/>
      <c r="AC443" s="104"/>
    </row>
    <row r="444">
      <c r="A444" s="104"/>
      <c r="B444" s="104"/>
      <c r="C444" s="104"/>
      <c r="D444" s="104"/>
      <c r="E444" s="104"/>
      <c r="F444" s="104"/>
      <c r="G444" s="104"/>
      <c r="H444" s="105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4"/>
      <c r="AC444" s="104"/>
    </row>
    <row r="445">
      <c r="A445" s="104"/>
      <c r="B445" s="104"/>
      <c r="C445" s="104"/>
      <c r="D445" s="104"/>
      <c r="E445" s="104"/>
      <c r="F445" s="104"/>
      <c r="G445" s="104"/>
      <c r="H445" s="105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</row>
    <row r="446">
      <c r="A446" s="104"/>
      <c r="B446" s="104"/>
      <c r="C446" s="104"/>
      <c r="D446" s="104"/>
      <c r="E446" s="104"/>
      <c r="F446" s="104"/>
      <c r="G446" s="104"/>
      <c r="H446" s="105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  <c r="AB446" s="104"/>
      <c r="AC446" s="104"/>
    </row>
    <row r="447">
      <c r="A447" s="104"/>
      <c r="B447" s="104"/>
      <c r="C447" s="104"/>
      <c r="D447" s="104"/>
      <c r="E447" s="104"/>
      <c r="F447" s="104"/>
      <c r="G447" s="104"/>
      <c r="H447" s="105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  <c r="AB447" s="104"/>
      <c r="AC447" s="104"/>
    </row>
    <row r="448">
      <c r="A448" s="104"/>
      <c r="B448" s="104"/>
      <c r="C448" s="104"/>
      <c r="D448" s="104"/>
      <c r="E448" s="104"/>
      <c r="F448" s="104"/>
      <c r="G448" s="104"/>
      <c r="H448" s="105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  <c r="AB448" s="104"/>
      <c r="AC448" s="104"/>
    </row>
    <row r="449">
      <c r="A449" s="104"/>
      <c r="B449" s="104"/>
      <c r="C449" s="104"/>
      <c r="D449" s="104"/>
      <c r="E449" s="104"/>
      <c r="F449" s="104"/>
      <c r="G449" s="104"/>
      <c r="H449" s="105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  <c r="AB449" s="104"/>
      <c r="AC449" s="104"/>
    </row>
    <row r="450">
      <c r="A450" s="104"/>
      <c r="B450" s="104"/>
      <c r="C450" s="104"/>
      <c r="D450" s="104"/>
      <c r="E450" s="104"/>
      <c r="F450" s="104"/>
      <c r="G450" s="104"/>
      <c r="H450" s="105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  <c r="AB450" s="104"/>
      <c r="AC450" s="104"/>
    </row>
    <row r="451">
      <c r="A451" s="104"/>
      <c r="B451" s="104"/>
      <c r="C451" s="104"/>
      <c r="D451" s="104"/>
      <c r="E451" s="104"/>
      <c r="F451" s="104"/>
      <c r="G451" s="104"/>
      <c r="H451" s="105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  <c r="AB451" s="104"/>
      <c r="AC451" s="104"/>
    </row>
    <row r="452">
      <c r="A452" s="104"/>
      <c r="B452" s="104"/>
      <c r="C452" s="104"/>
      <c r="D452" s="104"/>
      <c r="E452" s="104"/>
      <c r="F452" s="104"/>
      <c r="G452" s="104"/>
      <c r="H452" s="105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  <c r="AB452" s="104"/>
      <c r="AC452" s="104"/>
    </row>
    <row r="453">
      <c r="A453" s="104"/>
      <c r="B453" s="104"/>
      <c r="C453" s="104"/>
      <c r="D453" s="104"/>
      <c r="E453" s="104"/>
      <c r="F453" s="104"/>
      <c r="G453" s="104"/>
      <c r="H453" s="105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  <c r="AB453" s="104"/>
      <c r="AC453" s="104"/>
    </row>
    <row r="454">
      <c r="A454" s="104"/>
      <c r="B454" s="104"/>
      <c r="C454" s="104"/>
      <c r="D454" s="104"/>
      <c r="E454" s="104"/>
      <c r="F454" s="104"/>
      <c r="G454" s="104"/>
      <c r="H454" s="105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  <c r="AB454" s="104"/>
      <c r="AC454" s="104"/>
    </row>
    <row r="455">
      <c r="A455" s="104"/>
      <c r="B455" s="104"/>
      <c r="C455" s="104"/>
      <c r="D455" s="104"/>
      <c r="E455" s="104"/>
      <c r="F455" s="104"/>
      <c r="G455" s="104"/>
      <c r="H455" s="105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  <c r="AB455" s="104"/>
      <c r="AC455" s="104"/>
    </row>
    <row r="456">
      <c r="A456" s="104"/>
      <c r="B456" s="104"/>
      <c r="C456" s="104"/>
      <c r="D456" s="104"/>
      <c r="E456" s="104"/>
      <c r="F456" s="104"/>
      <c r="G456" s="104"/>
      <c r="H456" s="105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  <c r="AB456" s="104"/>
      <c r="AC456" s="104"/>
    </row>
    <row r="457">
      <c r="A457" s="104"/>
      <c r="B457" s="104"/>
      <c r="C457" s="104"/>
      <c r="D457" s="104"/>
      <c r="E457" s="104"/>
      <c r="F457" s="104"/>
      <c r="G457" s="104"/>
      <c r="H457" s="105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  <c r="AB457" s="104"/>
      <c r="AC457" s="104"/>
    </row>
    <row r="458">
      <c r="A458" s="104"/>
      <c r="B458" s="104"/>
      <c r="C458" s="104"/>
      <c r="D458" s="104"/>
      <c r="E458" s="104"/>
      <c r="F458" s="104"/>
      <c r="G458" s="104"/>
      <c r="H458" s="105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  <c r="AB458" s="104"/>
      <c r="AC458" s="104"/>
    </row>
    <row r="459">
      <c r="A459" s="104"/>
      <c r="B459" s="104"/>
      <c r="C459" s="104"/>
      <c r="D459" s="104"/>
      <c r="E459" s="104"/>
      <c r="F459" s="104"/>
      <c r="G459" s="104"/>
      <c r="H459" s="105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  <c r="AB459" s="104"/>
      <c r="AC459" s="104"/>
    </row>
    <row r="460">
      <c r="A460" s="104"/>
      <c r="B460" s="104"/>
      <c r="C460" s="104"/>
      <c r="D460" s="104"/>
      <c r="E460" s="104"/>
      <c r="F460" s="104"/>
      <c r="G460" s="104"/>
      <c r="H460" s="105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  <c r="AB460" s="104"/>
      <c r="AC460" s="104"/>
    </row>
    <row r="461">
      <c r="A461" s="104"/>
      <c r="B461" s="104"/>
      <c r="C461" s="104"/>
      <c r="D461" s="104"/>
      <c r="E461" s="104"/>
      <c r="F461" s="104"/>
      <c r="G461" s="104"/>
      <c r="H461" s="105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  <c r="AB461" s="104"/>
      <c r="AC461" s="104"/>
    </row>
    <row r="462">
      <c r="A462" s="104"/>
      <c r="B462" s="104"/>
      <c r="C462" s="104"/>
      <c r="D462" s="104"/>
      <c r="E462" s="104"/>
      <c r="F462" s="104"/>
      <c r="G462" s="104"/>
      <c r="H462" s="105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  <c r="AB462" s="104"/>
      <c r="AC462" s="104"/>
    </row>
    <row r="463">
      <c r="A463" s="104"/>
      <c r="B463" s="104"/>
      <c r="C463" s="104"/>
      <c r="D463" s="104"/>
      <c r="E463" s="104"/>
      <c r="F463" s="104"/>
      <c r="G463" s="104"/>
      <c r="H463" s="105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  <c r="AB463" s="104"/>
      <c r="AC463" s="104"/>
    </row>
    <row r="464">
      <c r="A464" s="104"/>
      <c r="B464" s="104"/>
      <c r="C464" s="104"/>
      <c r="D464" s="104"/>
      <c r="E464" s="104"/>
      <c r="F464" s="104"/>
      <c r="G464" s="104"/>
      <c r="H464" s="105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  <c r="AB464" s="104"/>
      <c r="AC464" s="104"/>
    </row>
    <row r="465">
      <c r="A465" s="104"/>
      <c r="B465" s="104"/>
      <c r="C465" s="104"/>
      <c r="D465" s="104"/>
      <c r="E465" s="104"/>
      <c r="F465" s="104"/>
      <c r="G465" s="104"/>
      <c r="H465" s="105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  <c r="AB465" s="104"/>
      <c r="AC465" s="104"/>
    </row>
    <row r="466">
      <c r="A466" s="104"/>
      <c r="B466" s="104"/>
      <c r="C466" s="104"/>
      <c r="D466" s="104"/>
      <c r="E466" s="104"/>
      <c r="F466" s="104"/>
      <c r="G466" s="104"/>
      <c r="H466" s="105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  <c r="AA466" s="104"/>
      <c r="AB466" s="104"/>
      <c r="AC466" s="104"/>
    </row>
    <row r="467">
      <c r="A467" s="104"/>
      <c r="B467" s="104"/>
      <c r="C467" s="104"/>
      <c r="D467" s="104"/>
      <c r="E467" s="104"/>
      <c r="F467" s="104"/>
      <c r="G467" s="104"/>
      <c r="H467" s="105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  <c r="AA467" s="104"/>
      <c r="AB467" s="104"/>
      <c r="AC467" s="104"/>
    </row>
    <row r="468">
      <c r="A468" s="104"/>
      <c r="B468" s="104"/>
      <c r="C468" s="104"/>
      <c r="D468" s="104"/>
      <c r="E468" s="104"/>
      <c r="F468" s="104"/>
      <c r="G468" s="104"/>
      <c r="H468" s="105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  <c r="AA468" s="104"/>
      <c r="AB468" s="104"/>
      <c r="AC468" s="104"/>
    </row>
    <row r="469">
      <c r="A469" s="104"/>
      <c r="B469" s="104"/>
      <c r="C469" s="104"/>
      <c r="D469" s="104"/>
      <c r="E469" s="104"/>
      <c r="F469" s="104"/>
      <c r="G469" s="104"/>
      <c r="H469" s="105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  <c r="AA469" s="104"/>
      <c r="AB469" s="104"/>
      <c r="AC469" s="104"/>
    </row>
    <row r="470">
      <c r="A470" s="104"/>
      <c r="B470" s="104"/>
      <c r="C470" s="104"/>
      <c r="D470" s="104"/>
      <c r="E470" s="104"/>
      <c r="F470" s="104"/>
      <c r="G470" s="104"/>
      <c r="H470" s="105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  <c r="AA470" s="104"/>
      <c r="AB470" s="104"/>
      <c r="AC470" s="104"/>
    </row>
    <row r="471">
      <c r="A471" s="104"/>
      <c r="B471" s="104"/>
      <c r="C471" s="104"/>
      <c r="D471" s="104"/>
      <c r="E471" s="104"/>
      <c r="F471" s="104"/>
      <c r="G471" s="104"/>
      <c r="H471" s="105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  <c r="AA471" s="104"/>
      <c r="AB471" s="104"/>
      <c r="AC471" s="104"/>
    </row>
    <row r="472">
      <c r="A472" s="104"/>
      <c r="B472" s="104"/>
      <c r="C472" s="104"/>
      <c r="D472" s="104"/>
      <c r="E472" s="104"/>
      <c r="F472" s="104"/>
      <c r="G472" s="104"/>
      <c r="H472" s="105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  <c r="AA472" s="104"/>
      <c r="AB472" s="104"/>
      <c r="AC472" s="104"/>
    </row>
    <row r="473">
      <c r="A473" s="104"/>
      <c r="B473" s="104"/>
      <c r="C473" s="104"/>
      <c r="D473" s="104"/>
      <c r="E473" s="104"/>
      <c r="F473" s="104"/>
      <c r="G473" s="104"/>
      <c r="H473" s="105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  <c r="AA473" s="104"/>
      <c r="AB473" s="104"/>
      <c r="AC473" s="104"/>
    </row>
    <row r="474">
      <c r="A474" s="104"/>
      <c r="B474" s="104"/>
      <c r="C474" s="104"/>
      <c r="D474" s="104"/>
      <c r="E474" s="104"/>
      <c r="F474" s="104"/>
      <c r="G474" s="104"/>
      <c r="H474" s="105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  <c r="AA474" s="104"/>
      <c r="AB474" s="104"/>
      <c r="AC474" s="104"/>
    </row>
    <row r="475">
      <c r="A475" s="104"/>
      <c r="B475" s="104"/>
      <c r="C475" s="104"/>
      <c r="D475" s="104"/>
      <c r="E475" s="104"/>
      <c r="F475" s="104"/>
      <c r="G475" s="104"/>
      <c r="H475" s="105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  <c r="AA475" s="104"/>
      <c r="AB475" s="104"/>
      <c r="AC475" s="104"/>
    </row>
    <row r="476">
      <c r="A476" s="104"/>
      <c r="B476" s="104"/>
      <c r="C476" s="104"/>
      <c r="D476" s="104"/>
      <c r="E476" s="104"/>
      <c r="F476" s="104"/>
      <c r="G476" s="104"/>
      <c r="H476" s="105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  <c r="AA476" s="104"/>
      <c r="AB476" s="104"/>
      <c r="AC476" s="104"/>
    </row>
    <row r="477">
      <c r="A477" s="104"/>
      <c r="B477" s="104"/>
      <c r="C477" s="104"/>
      <c r="D477" s="104"/>
      <c r="E477" s="104"/>
      <c r="F477" s="104"/>
      <c r="G477" s="104"/>
      <c r="H477" s="105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  <c r="AA477" s="104"/>
      <c r="AB477" s="104"/>
      <c r="AC477" s="104"/>
    </row>
    <row r="478">
      <c r="A478" s="104"/>
      <c r="B478" s="104"/>
      <c r="C478" s="104"/>
      <c r="D478" s="104"/>
      <c r="E478" s="104"/>
      <c r="F478" s="104"/>
      <c r="G478" s="104"/>
      <c r="H478" s="105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  <c r="AA478" s="104"/>
      <c r="AB478" s="104"/>
      <c r="AC478" s="104"/>
    </row>
    <row r="479">
      <c r="A479" s="104"/>
      <c r="B479" s="104"/>
      <c r="C479" s="104"/>
      <c r="D479" s="104"/>
      <c r="E479" s="104"/>
      <c r="F479" s="104"/>
      <c r="G479" s="104"/>
      <c r="H479" s="105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  <c r="AA479" s="104"/>
      <c r="AB479" s="104"/>
      <c r="AC479" s="104"/>
    </row>
    <row r="480">
      <c r="A480" s="104"/>
      <c r="B480" s="104"/>
      <c r="C480" s="104"/>
      <c r="D480" s="104"/>
      <c r="E480" s="104"/>
      <c r="F480" s="104"/>
      <c r="G480" s="104"/>
      <c r="H480" s="105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  <c r="AA480" s="104"/>
      <c r="AB480" s="104"/>
      <c r="AC480" s="104"/>
    </row>
    <row r="481">
      <c r="A481" s="104"/>
      <c r="B481" s="104"/>
      <c r="C481" s="104"/>
      <c r="D481" s="104"/>
      <c r="E481" s="104"/>
      <c r="F481" s="104"/>
      <c r="G481" s="104"/>
      <c r="H481" s="105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  <c r="AA481" s="104"/>
      <c r="AB481" s="104"/>
      <c r="AC481" s="104"/>
    </row>
    <row r="482">
      <c r="A482" s="104"/>
      <c r="B482" s="104"/>
      <c r="C482" s="104"/>
      <c r="D482" s="104"/>
      <c r="E482" s="104"/>
      <c r="F482" s="104"/>
      <c r="G482" s="104"/>
      <c r="H482" s="105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  <c r="AA482" s="104"/>
      <c r="AB482" s="104"/>
      <c r="AC482" s="104"/>
    </row>
    <row r="483">
      <c r="A483" s="104"/>
      <c r="B483" s="104"/>
      <c r="C483" s="104"/>
      <c r="D483" s="104"/>
      <c r="E483" s="104"/>
      <c r="F483" s="104"/>
      <c r="G483" s="104"/>
      <c r="H483" s="105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  <c r="AA483" s="104"/>
      <c r="AB483" s="104"/>
      <c r="AC483" s="104"/>
    </row>
    <row r="484">
      <c r="A484" s="104"/>
      <c r="B484" s="104"/>
      <c r="C484" s="104"/>
      <c r="D484" s="104"/>
      <c r="E484" s="104"/>
      <c r="F484" s="104"/>
      <c r="G484" s="104"/>
      <c r="H484" s="105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  <c r="AA484" s="104"/>
      <c r="AB484" s="104"/>
      <c r="AC484" s="104"/>
    </row>
    <row r="485">
      <c r="A485" s="104"/>
      <c r="B485" s="104"/>
      <c r="C485" s="104"/>
      <c r="D485" s="104"/>
      <c r="E485" s="104"/>
      <c r="F485" s="104"/>
      <c r="G485" s="104"/>
      <c r="H485" s="105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  <c r="AA485" s="104"/>
      <c r="AB485" s="104"/>
      <c r="AC485" s="104"/>
    </row>
    <row r="486">
      <c r="A486" s="104"/>
      <c r="B486" s="104"/>
      <c r="C486" s="104"/>
      <c r="D486" s="104"/>
      <c r="E486" s="104"/>
      <c r="F486" s="104"/>
      <c r="G486" s="104"/>
      <c r="H486" s="105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  <c r="AA486" s="104"/>
      <c r="AB486" s="104"/>
      <c r="AC486" s="104"/>
    </row>
    <row r="487">
      <c r="A487" s="104"/>
      <c r="B487" s="104"/>
      <c r="C487" s="104"/>
      <c r="D487" s="104"/>
      <c r="E487" s="104"/>
      <c r="F487" s="104"/>
      <c r="G487" s="104"/>
      <c r="H487" s="105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  <c r="AA487" s="104"/>
      <c r="AB487" s="104"/>
      <c r="AC487" s="104"/>
    </row>
    <row r="488">
      <c r="A488" s="104"/>
      <c r="B488" s="104"/>
      <c r="C488" s="104"/>
      <c r="D488" s="104"/>
      <c r="E488" s="104"/>
      <c r="F488" s="104"/>
      <c r="G488" s="104"/>
      <c r="H488" s="105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  <c r="AA488" s="104"/>
      <c r="AB488" s="104"/>
      <c r="AC488" s="104"/>
    </row>
    <row r="489">
      <c r="A489" s="104"/>
      <c r="B489" s="104"/>
      <c r="C489" s="104"/>
      <c r="D489" s="104"/>
      <c r="E489" s="104"/>
      <c r="F489" s="104"/>
      <c r="G489" s="104"/>
      <c r="H489" s="105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  <c r="AA489" s="104"/>
      <c r="AB489" s="104"/>
      <c r="AC489" s="104"/>
    </row>
    <row r="490">
      <c r="A490" s="104"/>
      <c r="B490" s="104"/>
      <c r="C490" s="104"/>
      <c r="D490" s="104"/>
      <c r="E490" s="104"/>
      <c r="F490" s="104"/>
      <c r="G490" s="104"/>
      <c r="H490" s="105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  <c r="AA490" s="104"/>
      <c r="AB490" s="104"/>
      <c r="AC490" s="104"/>
    </row>
    <row r="491">
      <c r="A491" s="104"/>
      <c r="B491" s="104"/>
      <c r="C491" s="104"/>
      <c r="D491" s="104"/>
      <c r="E491" s="104"/>
      <c r="F491" s="104"/>
      <c r="G491" s="104"/>
      <c r="H491" s="105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  <c r="AA491" s="104"/>
      <c r="AB491" s="104"/>
      <c r="AC491" s="104"/>
    </row>
    <row r="492">
      <c r="A492" s="104"/>
      <c r="B492" s="104"/>
      <c r="C492" s="104"/>
      <c r="D492" s="104"/>
      <c r="E492" s="104"/>
      <c r="F492" s="104"/>
      <c r="G492" s="104"/>
      <c r="H492" s="105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  <c r="AA492" s="104"/>
      <c r="AB492" s="104"/>
      <c r="AC492" s="104"/>
    </row>
    <row r="493">
      <c r="A493" s="104"/>
      <c r="B493" s="104"/>
      <c r="C493" s="104"/>
      <c r="D493" s="104"/>
      <c r="E493" s="104"/>
      <c r="F493" s="104"/>
      <c r="G493" s="104"/>
      <c r="H493" s="105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  <c r="AA493" s="104"/>
      <c r="AB493" s="104"/>
      <c r="AC493" s="104"/>
    </row>
    <row r="494">
      <c r="A494" s="104"/>
      <c r="B494" s="104"/>
      <c r="C494" s="104"/>
      <c r="D494" s="104"/>
      <c r="E494" s="104"/>
      <c r="F494" s="104"/>
      <c r="G494" s="104"/>
      <c r="H494" s="105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  <c r="AA494" s="104"/>
      <c r="AB494" s="104"/>
      <c r="AC494" s="104"/>
    </row>
    <row r="495">
      <c r="A495" s="104"/>
      <c r="B495" s="104"/>
      <c r="C495" s="104"/>
      <c r="D495" s="104"/>
      <c r="E495" s="104"/>
      <c r="F495" s="104"/>
      <c r="G495" s="104"/>
      <c r="H495" s="105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  <c r="AA495" s="104"/>
      <c r="AB495" s="104"/>
      <c r="AC495" s="104"/>
    </row>
    <row r="496">
      <c r="A496" s="104"/>
      <c r="B496" s="104"/>
      <c r="C496" s="104"/>
      <c r="D496" s="104"/>
      <c r="E496" s="104"/>
      <c r="F496" s="104"/>
      <c r="G496" s="104"/>
      <c r="H496" s="105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  <c r="AA496" s="104"/>
      <c r="AB496" s="104"/>
      <c r="AC496" s="104"/>
    </row>
    <row r="497">
      <c r="A497" s="104"/>
      <c r="B497" s="104"/>
      <c r="C497" s="104"/>
      <c r="D497" s="104"/>
      <c r="E497" s="104"/>
      <c r="F497" s="104"/>
      <c r="G497" s="104"/>
      <c r="H497" s="105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  <c r="AA497" s="104"/>
      <c r="AB497" s="104"/>
      <c r="AC497" s="104"/>
    </row>
    <row r="498">
      <c r="A498" s="104"/>
      <c r="B498" s="104"/>
      <c r="C498" s="104"/>
      <c r="D498" s="104"/>
      <c r="E498" s="104"/>
      <c r="F498" s="104"/>
      <c r="G498" s="104"/>
      <c r="H498" s="105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  <c r="AA498" s="104"/>
      <c r="AB498" s="104"/>
      <c r="AC498" s="104"/>
    </row>
    <row r="499">
      <c r="A499" s="104"/>
      <c r="B499" s="104"/>
      <c r="C499" s="104"/>
      <c r="D499" s="104"/>
      <c r="E499" s="104"/>
      <c r="F499" s="104"/>
      <c r="G499" s="104"/>
      <c r="H499" s="105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  <c r="AA499" s="104"/>
      <c r="AB499" s="104"/>
      <c r="AC499" s="104"/>
    </row>
    <row r="500">
      <c r="A500" s="104"/>
      <c r="B500" s="104"/>
      <c r="C500" s="104"/>
      <c r="D500" s="104"/>
      <c r="E500" s="104"/>
      <c r="F500" s="104"/>
      <c r="G500" s="104"/>
      <c r="H500" s="105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  <c r="AA500" s="104"/>
      <c r="AB500" s="104"/>
      <c r="AC500" s="104"/>
    </row>
    <row r="501">
      <c r="A501" s="104"/>
      <c r="B501" s="104"/>
      <c r="C501" s="104"/>
      <c r="D501" s="104"/>
      <c r="E501" s="104"/>
      <c r="F501" s="104"/>
      <c r="G501" s="104"/>
      <c r="H501" s="105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  <c r="AA501" s="104"/>
      <c r="AB501" s="104"/>
      <c r="AC501" s="104"/>
    </row>
    <row r="502">
      <c r="A502" s="104"/>
      <c r="B502" s="104"/>
      <c r="C502" s="104"/>
      <c r="D502" s="104"/>
      <c r="E502" s="104"/>
      <c r="F502" s="104"/>
      <c r="G502" s="104"/>
      <c r="H502" s="105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  <c r="AA502" s="104"/>
      <c r="AB502" s="104"/>
      <c r="AC502" s="104"/>
    </row>
    <row r="503">
      <c r="A503" s="104"/>
      <c r="B503" s="104"/>
      <c r="C503" s="104"/>
      <c r="D503" s="104"/>
      <c r="E503" s="104"/>
      <c r="F503" s="104"/>
      <c r="G503" s="104"/>
      <c r="H503" s="105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  <c r="AA503" s="104"/>
      <c r="AB503" s="104"/>
      <c r="AC503" s="104"/>
    </row>
    <row r="504">
      <c r="A504" s="104"/>
      <c r="B504" s="104"/>
      <c r="C504" s="104"/>
      <c r="D504" s="104"/>
      <c r="E504" s="104"/>
      <c r="F504" s="104"/>
      <c r="G504" s="104"/>
      <c r="H504" s="105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  <c r="AA504" s="104"/>
      <c r="AB504" s="104"/>
      <c r="AC504" s="104"/>
    </row>
    <row r="505">
      <c r="A505" s="104"/>
      <c r="B505" s="104"/>
      <c r="C505" s="104"/>
      <c r="D505" s="104"/>
      <c r="E505" s="104"/>
      <c r="F505" s="104"/>
      <c r="G505" s="104"/>
      <c r="H505" s="105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  <c r="AA505" s="104"/>
      <c r="AB505" s="104"/>
      <c r="AC505" s="104"/>
    </row>
    <row r="506">
      <c r="A506" s="104"/>
      <c r="B506" s="104"/>
      <c r="C506" s="104"/>
      <c r="D506" s="104"/>
      <c r="E506" s="104"/>
      <c r="F506" s="104"/>
      <c r="G506" s="104"/>
      <c r="H506" s="105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  <c r="AA506" s="104"/>
      <c r="AB506" s="104"/>
      <c r="AC506" s="104"/>
    </row>
    <row r="507">
      <c r="A507" s="104"/>
      <c r="B507" s="104"/>
      <c r="C507" s="104"/>
      <c r="D507" s="104"/>
      <c r="E507" s="104"/>
      <c r="F507" s="104"/>
      <c r="G507" s="104"/>
      <c r="H507" s="105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  <c r="AA507" s="104"/>
      <c r="AB507" s="104"/>
      <c r="AC507" s="104"/>
    </row>
    <row r="508">
      <c r="A508" s="104"/>
      <c r="B508" s="104"/>
      <c r="C508" s="104"/>
      <c r="D508" s="104"/>
      <c r="E508" s="104"/>
      <c r="F508" s="104"/>
      <c r="G508" s="104"/>
      <c r="H508" s="105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  <c r="AA508" s="104"/>
      <c r="AB508" s="104"/>
      <c r="AC508" s="104"/>
    </row>
    <row r="509">
      <c r="A509" s="104"/>
      <c r="B509" s="104"/>
      <c r="C509" s="104"/>
      <c r="D509" s="104"/>
      <c r="E509" s="104"/>
      <c r="F509" s="104"/>
      <c r="G509" s="104"/>
      <c r="H509" s="105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  <c r="AA509" s="104"/>
      <c r="AB509" s="104"/>
      <c r="AC509" s="104"/>
    </row>
    <row r="510">
      <c r="A510" s="104"/>
      <c r="B510" s="104"/>
      <c r="C510" s="104"/>
      <c r="D510" s="104"/>
      <c r="E510" s="104"/>
      <c r="F510" s="104"/>
      <c r="G510" s="104"/>
      <c r="H510" s="105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  <c r="AA510" s="104"/>
      <c r="AB510" s="104"/>
      <c r="AC510" s="104"/>
    </row>
    <row r="511">
      <c r="A511" s="104"/>
      <c r="B511" s="104"/>
      <c r="C511" s="104"/>
      <c r="D511" s="104"/>
      <c r="E511" s="104"/>
      <c r="F511" s="104"/>
      <c r="G511" s="104"/>
      <c r="H511" s="105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  <c r="AA511" s="104"/>
      <c r="AB511" s="104"/>
      <c r="AC511" s="104"/>
    </row>
    <row r="512">
      <c r="A512" s="104"/>
      <c r="B512" s="104"/>
      <c r="C512" s="104"/>
      <c r="D512" s="104"/>
      <c r="E512" s="104"/>
      <c r="F512" s="104"/>
      <c r="G512" s="104"/>
      <c r="H512" s="105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  <c r="AA512" s="104"/>
      <c r="AB512" s="104"/>
      <c r="AC512" s="104"/>
    </row>
    <row r="513">
      <c r="A513" s="104"/>
      <c r="B513" s="104"/>
      <c r="C513" s="104"/>
      <c r="D513" s="104"/>
      <c r="E513" s="104"/>
      <c r="F513" s="104"/>
      <c r="G513" s="104"/>
      <c r="H513" s="105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</row>
    <row r="514">
      <c r="A514" s="104"/>
      <c r="B514" s="104"/>
      <c r="C514" s="104"/>
      <c r="D514" s="104"/>
      <c r="E514" s="104"/>
      <c r="F514" s="104"/>
      <c r="G514" s="104"/>
      <c r="H514" s="105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  <c r="AA514" s="104"/>
      <c r="AB514" s="104"/>
      <c r="AC514" s="104"/>
    </row>
    <row r="515">
      <c r="A515" s="104"/>
      <c r="B515" s="104"/>
      <c r="C515" s="104"/>
      <c r="D515" s="104"/>
      <c r="E515" s="104"/>
      <c r="F515" s="104"/>
      <c r="G515" s="104"/>
      <c r="H515" s="105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  <c r="AA515" s="104"/>
      <c r="AB515" s="104"/>
      <c r="AC515" s="104"/>
    </row>
    <row r="516">
      <c r="A516" s="104"/>
      <c r="B516" s="104"/>
      <c r="C516" s="104"/>
      <c r="D516" s="104"/>
      <c r="E516" s="104"/>
      <c r="F516" s="104"/>
      <c r="G516" s="104"/>
      <c r="H516" s="105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  <c r="AA516" s="104"/>
      <c r="AB516" s="104"/>
      <c r="AC516" s="104"/>
    </row>
    <row r="517">
      <c r="A517" s="104"/>
      <c r="B517" s="104"/>
      <c r="C517" s="104"/>
      <c r="D517" s="104"/>
      <c r="E517" s="104"/>
      <c r="F517" s="104"/>
      <c r="G517" s="104"/>
      <c r="H517" s="105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  <c r="AA517" s="104"/>
      <c r="AB517" s="104"/>
      <c r="AC517" s="104"/>
    </row>
    <row r="518">
      <c r="A518" s="104"/>
      <c r="B518" s="104"/>
      <c r="C518" s="104"/>
      <c r="D518" s="104"/>
      <c r="E518" s="104"/>
      <c r="F518" s="104"/>
      <c r="G518" s="104"/>
      <c r="H518" s="105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  <c r="AA518" s="104"/>
      <c r="AB518" s="104"/>
      <c r="AC518" s="104"/>
    </row>
    <row r="519">
      <c r="A519" s="104"/>
      <c r="B519" s="104"/>
      <c r="C519" s="104"/>
      <c r="D519" s="104"/>
      <c r="E519" s="104"/>
      <c r="F519" s="104"/>
      <c r="G519" s="104"/>
      <c r="H519" s="105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  <c r="AA519" s="104"/>
      <c r="AB519" s="104"/>
      <c r="AC519" s="104"/>
    </row>
    <row r="520">
      <c r="A520" s="104"/>
      <c r="B520" s="104"/>
      <c r="C520" s="104"/>
      <c r="D520" s="104"/>
      <c r="E520" s="104"/>
      <c r="F520" s="104"/>
      <c r="G520" s="104"/>
      <c r="H520" s="105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  <c r="AA520" s="104"/>
      <c r="AB520" s="104"/>
      <c r="AC520" s="104"/>
    </row>
    <row r="521">
      <c r="A521" s="104"/>
      <c r="B521" s="104"/>
      <c r="C521" s="104"/>
      <c r="D521" s="104"/>
      <c r="E521" s="104"/>
      <c r="F521" s="104"/>
      <c r="G521" s="104"/>
      <c r="H521" s="105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  <c r="AA521" s="104"/>
      <c r="AB521" s="104"/>
      <c r="AC521" s="104"/>
    </row>
    <row r="522">
      <c r="A522" s="104"/>
      <c r="B522" s="104"/>
      <c r="C522" s="104"/>
      <c r="D522" s="104"/>
      <c r="E522" s="104"/>
      <c r="F522" s="104"/>
      <c r="G522" s="104"/>
      <c r="H522" s="105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  <c r="AA522" s="104"/>
      <c r="AB522" s="104"/>
      <c r="AC522" s="104"/>
    </row>
    <row r="523">
      <c r="A523" s="104"/>
      <c r="B523" s="104"/>
      <c r="C523" s="104"/>
      <c r="D523" s="104"/>
      <c r="E523" s="104"/>
      <c r="F523" s="104"/>
      <c r="G523" s="104"/>
      <c r="H523" s="105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  <c r="AA523" s="104"/>
      <c r="AB523" s="104"/>
      <c r="AC523" s="104"/>
    </row>
    <row r="524">
      <c r="A524" s="104"/>
      <c r="B524" s="104"/>
      <c r="C524" s="104"/>
      <c r="D524" s="104"/>
      <c r="E524" s="104"/>
      <c r="F524" s="104"/>
      <c r="G524" s="104"/>
      <c r="H524" s="105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  <c r="AA524" s="104"/>
      <c r="AB524" s="104"/>
      <c r="AC524" s="104"/>
    </row>
    <row r="525">
      <c r="A525" s="104"/>
      <c r="B525" s="104"/>
      <c r="C525" s="104"/>
      <c r="D525" s="104"/>
      <c r="E525" s="104"/>
      <c r="F525" s="104"/>
      <c r="G525" s="104"/>
      <c r="H525" s="105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  <c r="AA525" s="104"/>
      <c r="AB525" s="104"/>
      <c r="AC525" s="104"/>
    </row>
    <row r="526">
      <c r="A526" s="104"/>
      <c r="B526" s="104"/>
      <c r="C526" s="104"/>
      <c r="D526" s="104"/>
      <c r="E526" s="104"/>
      <c r="F526" s="104"/>
      <c r="G526" s="104"/>
      <c r="H526" s="105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  <c r="AA526" s="104"/>
      <c r="AB526" s="104"/>
      <c r="AC526" s="104"/>
    </row>
    <row r="527">
      <c r="A527" s="104"/>
      <c r="B527" s="104"/>
      <c r="C527" s="104"/>
      <c r="D527" s="104"/>
      <c r="E527" s="104"/>
      <c r="F527" s="104"/>
      <c r="G527" s="104"/>
      <c r="H527" s="105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  <c r="AA527" s="104"/>
      <c r="AB527" s="104"/>
      <c r="AC527" s="104"/>
    </row>
    <row r="528">
      <c r="A528" s="104"/>
      <c r="B528" s="104"/>
      <c r="C528" s="104"/>
      <c r="D528" s="104"/>
      <c r="E528" s="104"/>
      <c r="F528" s="104"/>
      <c r="G528" s="104"/>
      <c r="H528" s="105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  <c r="AA528" s="104"/>
      <c r="AB528" s="104"/>
      <c r="AC528" s="104"/>
    </row>
    <row r="529">
      <c r="A529" s="104"/>
      <c r="B529" s="104"/>
      <c r="C529" s="104"/>
      <c r="D529" s="104"/>
      <c r="E529" s="104"/>
      <c r="F529" s="104"/>
      <c r="G529" s="104"/>
      <c r="H529" s="105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  <c r="AA529" s="104"/>
      <c r="AB529" s="104"/>
      <c r="AC529" s="104"/>
    </row>
    <row r="530">
      <c r="A530" s="104"/>
      <c r="B530" s="104"/>
      <c r="C530" s="104"/>
      <c r="D530" s="104"/>
      <c r="E530" s="104"/>
      <c r="F530" s="104"/>
      <c r="G530" s="104"/>
      <c r="H530" s="105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  <c r="AA530" s="104"/>
      <c r="AB530" s="104"/>
      <c r="AC530" s="104"/>
    </row>
    <row r="531">
      <c r="A531" s="104"/>
      <c r="B531" s="104"/>
      <c r="C531" s="104"/>
      <c r="D531" s="104"/>
      <c r="E531" s="104"/>
      <c r="F531" s="104"/>
      <c r="G531" s="104"/>
      <c r="H531" s="105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  <c r="AA531" s="104"/>
      <c r="AB531" s="104"/>
      <c r="AC531" s="104"/>
    </row>
    <row r="532">
      <c r="A532" s="104"/>
      <c r="B532" s="104"/>
      <c r="C532" s="104"/>
      <c r="D532" s="104"/>
      <c r="E532" s="104"/>
      <c r="F532" s="104"/>
      <c r="G532" s="104"/>
      <c r="H532" s="105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  <c r="AA532" s="104"/>
      <c r="AB532" s="104"/>
      <c r="AC532" s="104"/>
    </row>
    <row r="533">
      <c r="A533" s="104"/>
      <c r="B533" s="104"/>
      <c r="C533" s="104"/>
      <c r="D533" s="104"/>
      <c r="E533" s="104"/>
      <c r="F533" s="104"/>
      <c r="G533" s="104"/>
      <c r="H533" s="105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  <c r="AA533" s="104"/>
      <c r="AB533" s="104"/>
      <c r="AC533" s="104"/>
    </row>
    <row r="534">
      <c r="A534" s="104"/>
      <c r="B534" s="104"/>
      <c r="C534" s="104"/>
      <c r="D534" s="104"/>
      <c r="E534" s="104"/>
      <c r="F534" s="104"/>
      <c r="G534" s="104"/>
      <c r="H534" s="105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  <c r="AA534" s="104"/>
      <c r="AB534" s="104"/>
      <c r="AC534" s="104"/>
    </row>
    <row r="535">
      <c r="A535" s="104"/>
      <c r="B535" s="104"/>
      <c r="C535" s="104"/>
      <c r="D535" s="104"/>
      <c r="E535" s="104"/>
      <c r="F535" s="104"/>
      <c r="G535" s="104"/>
      <c r="H535" s="105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  <c r="AA535" s="104"/>
      <c r="AB535" s="104"/>
      <c r="AC535" s="104"/>
    </row>
    <row r="536">
      <c r="A536" s="104"/>
      <c r="B536" s="104"/>
      <c r="C536" s="104"/>
      <c r="D536" s="104"/>
      <c r="E536" s="104"/>
      <c r="F536" s="104"/>
      <c r="G536" s="104"/>
      <c r="H536" s="105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  <c r="AA536" s="104"/>
      <c r="AB536" s="104"/>
      <c r="AC536" s="104"/>
    </row>
    <row r="537">
      <c r="A537" s="104"/>
      <c r="B537" s="104"/>
      <c r="C537" s="104"/>
      <c r="D537" s="104"/>
      <c r="E537" s="104"/>
      <c r="F537" s="104"/>
      <c r="G537" s="104"/>
      <c r="H537" s="105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  <c r="AA537" s="104"/>
      <c r="AB537" s="104"/>
      <c r="AC537" s="104"/>
    </row>
    <row r="538">
      <c r="A538" s="104"/>
      <c r="B538" s="104"/>
      <c r="C538" s="104"/>
      <c r="D538" s="104"/>
      <c r="E538" s="104"/>
      <c r="F538" s="104"/>
      <c r="G538" s="104"/>
      <c r="H538" s="105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  <c r="AA538" s="104"/>
      <c r="AB538" s="104"/>
      <c r="AC538" s="104"/>
    </row>
    <row r="539">
      <c r="A539" s="104"/>
      <c r="B539" s="104"/>
      <c r="C539" s="104"/>
      <c r="D539" s="104"/>
      <c r="E539" s="104"/>
      <c r="F539" s="104"/>
      <c r="G539" s="104"/>
      <c r="H539" s="105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  <c r="AA539" s="104"/>
      <c r="AB539" s="104"/>
      <c r="AC539" s="104"/>
    </row>
    <row r="540">
      <c r="A540" s="104"/>
      <c r="B540" s="104"/>
      <c r="C540" s="104"/>
      <c r="D540" s="104"/>
      <c r="E540" s="104"/>
      <c r="F540" s="104"/>
      <c r="G540" s="104"/>
      <c r="H540" s="105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  <c r="AA540" s="104"/>
      <c r="AB540" s="104"/>
      <c r="AC540" s="104"/>
    </row>
    <row r="541">
      <c r="A541" s="104"/>
      <c r="B541" s="104"/>
      <c r="C541" s="104"/>
      <c r="D541" s="104"/>
      <c r="E541" s="104"/>
      <c r="F541" s="104"/>
      <c r="G541" s="104"/>
      <c r="H541" s="105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  <c r="AA541" s="104"/>
      <c r="AB541" s="104"/>
      <c r="AC541" s="104"/>
    </row>
    <row r="542">
      <c r="A542" s="104"/>
      <c r="B542" s="104"/>
      <c r="C542" s="104"/>
      <c r="D542" s="104"/>
      <c r="E542" s="104"/>
      <c r="F542" s="104"/>
      <c r="G542" s="104"/>
      <c r="H542" s="105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  <c r="AA542" s="104"/>
      <c r="AB542" s="104"/>
      <c r="AC542" s="104"/>
    </row>
    <row r="543">
      <c r="A543" s="104"/>
      <c r="B543" s="104"/>
      <c r="C543" s="104"/>
      <c r="D543" s="104"/>
      <c r="E543" s="104"/>
      <c r="F543" s="104"/>
      <c r="G543" s="104"/>
      <c r="H543" s="105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  <c r="AA543" s="104"/>
      <c r="AB543" s="104"/>
      <c r="AC543" s="104"/>
    </row>
    <row r="544">
      <c r="A544" s="104"/>
      <c r="B544" s="104"/>
      <c r="C544" s="104"/>
      <c r="D544" s="104"/>
      <c r="E544" s="104"/>
      <c r="F544" s="104"/>
      <c r="G544" s="104"/>
      <c r="H544" s="105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  <c r="AA544" s="104"/>
      <c r="AB544" s="104"/>
      <c r="AC544" s="104"/>
    </row>
    <row r="545">
      <c r="A545" s="104"/>
      <c r="B545" s="104"/>
      <c r="C545" s="104"/>
      <c r="D545" s="104"/>
      <c r="E545" s="104"/>
      <c r="F545" s="104"/>
      <c r="G545" s="104"/>
      <c r="H545" s="105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  <c r="AA545" s="104"/>
      <c r="AB545" s="104"/>
      <c r="AC545" s="104"/>
    </row>
    <row r="546">
      <c r="A546" s="104"/>
      <c r="B546" s="104"/>
      <c r="C546" s="104"/>
      <c r="D546" s="104"/>
      <c r="E546" s="104"/>
      <c r="F546" s="104"/>
      <c r="G546" s="104"/>
      <c r="H546" s="105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  <c r="AA546" s="104"/>
      <c r="AB546" s="104"/>
      <c r="AC546" s="104"/>
    </row>
    <row r="547">
      <c r="A547" s="104"/>
      <c r="B547" s="104"/>
      <c r="C547" s="104"/>
      <c r="D547" s="104"/>
      <c r="E547" s="104"/>
      <c r="F547" s="104"/>
      <c r="G547" s="104"/>
      <c r="H547" s="105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  <c r="AA547" s="104"/>
      <c r="AB547" s="104"/>
      <c r="AC547" s="104"/>
    </row>
    <row r="548">
      <c r="A548" s="104"/>
      <c r="B548" s="104"/>
      <c r="C548" s="104"/>
      <c r="D548" s="104"/>
      <c r="E548" s="104"/>
      <c r="F548" s="104"/>
      <c r="G548" s="104"/>
      <c r="H548" s="105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  <c r="AA548" s="104"/>
      <c r="AB548" s="104"/>
      <c r="AC548" s="104"/>
    </row>
    <row r="549">
      <c r="A549" s="104"/>
      <c r="B549" s="104"/>
      <c r="C549" s="104"/>
      <c r="D549" s="104"/>
      <c r="E549" s="104"/>
      <c r="F549" s="104"/>
      <c r="G549" s="104"/>
      <c r="H549" s="105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  <c r="AA549" s="104"/>
      <c r="AB549" s="104"/>
      <c r="AC549" s="104"/>
    </row>
    <row r="550">
      <c r="A550" s="104"/>
      <c r="B550" s="104"/>
      <c r="C550" s="104"/>
      <c r="D550" s="104"/>
      <c r="E550" s="104"/>
      <c r="F550" s="104"/>
      <c r="G550" s="104"/>
      <c r="H550" s="105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  <c r="AA550" s="104"/>
      <c r="AB550" s="104"/>
      <c r="AC550" s="104"/>
    </row>
    <row r="551">
      <c r="A551" s="104"/>
      <c r="B551" s="104"/>
      <c r="C551" s="104"/>
      <c r="D551" s="104"/>
      <c r="E551" s="104"/>
      <c r="F551" s="104"/>
      <c r="G551" s="104"/>
      <c r="H551" s="105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  <c r="AA551" s="104"/>
      <c r="AB551" s="104"/>
      <c r="AC551" s="104"/>
    </row>
    <row r="552">
      <c r="A552" s="104"/>
      <c r="B552" s="104"/>
      <c r="C552" s="104"/>
      <c r="D552" s="104"/>
      <c r="E552" s="104"/>
      <c r="F552" s="104"/>
      <c r="G552" s="104"/>
      <c r="H552" s="105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  <c r="AA552" s="104"/>
      <c r="AB552" s="104"/>
      <c r="AC552" s="104"/>
    </row>
    <row r="553">
      <c r="A553" s="104"/>
      <c r="B553" s="104"/>
      <c r="C553" s="104"/>
      <c r="D553" s="104"/>
      <c r="E553" s="104"/>
      <c r="F553" s="104"/>
      <c r="G553" s="104"/>
      <c r="H553" s="105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  <c r="AA553" s="104"/>
      <c r="AB553" s="104"/>
      <c r="AC553" s="104"/>
    </row>
    <row r="554">
      <c r="A554" s="104"/>
      <c r="B554" s="104"/>
      <c r="C554" s="104"/>
      <c r="D554" s="104"/>
      <c r="E554" s="104"/>
      <c r="F554" s="104"/>
      <c r="G554" s="104"/>
      <c r="H554" s="105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  <c r="AA554" s="104"/>
      <c r="AB554" s="104"/>
      <c r="AC554" s="104"/>
    </row>
    <row r="555">
      <c r="A555" s="104"/>
      <c r="B555" s="104"/>
      <c r="C555" s="104"/>
      <c r="D555" s="104"/>
      <c r="E555" s="104"/>
      <c r="F555" s="104"/>
      <c r="G555" s="104"/>
      <c r="H555" s="105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  <c r="AA555" s="104"/>
      <c r="AB555" s="104"/>
      <c r="AC555" s="104"/>
    </row>
    <row r="556">
      <c r="A556" s="104"/>
      <c r="B556" s="104"/>
      <c r="C556" s="104"/>
      <c r="D556" s="104"/>
      <c r="E556" s="104"/>
      <c r="F556" s="104"/>
      <c r="G556" s="104"/>
      <c r="H556" s="105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  <c r="AA556" s="104"/>
      <c r="AB556" s="104"/>
      <c r="AC556" s="104"/>
    </row>
    <row r="557">
      <c r="A557" s="104"/>
      <c r="B557" s="104"/>
      <c r="C557" s="104"/>
      <c r="D557" s="104"/>
      <c r="E557" s="104"/>
      <c r="F557" s="104"/>
      <c r="G557" s="104"/>
      <c r="H557" s="105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  <c r="AA557" s="104"/>
      <c r="AB557" s="104"/>
      <c r="AC557" s="104"/>
    </row>
    <row r="558">
      <c r="A558" s="104"/>
      <c r="B558" s="104"/>
      <c r="C558" s="104"/>
      <c r="D558" s="104"/>
      <c r="E558" s="104"/>
      <c r="F558" s="104"/>
      <c r="G558" s="104"/>
      <c r="H558" s="105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  <c r="AA558" s="104"/>
      <c r="AB558" s="104"/>
      <c r="AC558" s="104"/>
    </row>
    <row r="559">
      <c r="A559" s="104"/>
      <c r="B559" s="104"/>
      <c r="C559" s="104"/>
      <c r="D559" s="104"/>
      <c r="E559" s="104"/>
      <c r="F559" s="104"/>
      <c r="G559" s="104"/>
      <c r="H559" s="105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  <c r="AA559" s="104"/>
      <c r="AB559" s="104"/>
      <c r="AC559" s="104"/>
    </row>
    <row r="560">
      <c r="A560" s="104"/>
      <c r="B560" s="104"/>
      <c r="C560" s="104"/>
      <c r="D560" s="104"/>
      <c r="E560" s="104"/>
      <c r="F560" s="104"/>
      <c r="G560" s="104"/>
      <c r="H560" s="105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  <c r="AA560" s="104"/>
      <c r="AB560" s="104"/>
      <c r="AC560" s="104"/>
    </row>
    <row r="561">
      <c r="A561" s="104"/>
      <c r="B561" s="104"/>
      <c r="C561" s="104"/>
      <c r="D561" s="104"/>
      <c r="E561" s="104"/>
      <c r="F561" s="104"/>
      <c r="G561" s="104"/>
      <c r="H561" s="105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  <c r="AA561" s="104"/>
      <c r="AB561" s="104"/>
      <c r="AC561" s="104"/>
    </row>
    <row r="562">
      <c r="A562" s="104"/>
      <c r="B562" s="104"/>
      <c r="C562" s="104"/>
      <c r="D562" s="104"/>
      <c r="E562" s="104"/>
      <c r="F562" s="104"/>
      <c r="G562" s="104"/>
      <c r="H562" s="105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  <c r="AA562" s="104"/>
      <c r="AB562" s="104"/>
      <c r="AC562" s="104"/>
    </row>
    <row r="563">
      <c r="A563" s="104"/>
      <c r="B563" s="104"/>
      <c r="C563" s="104"/>
      <c r="D563" s="104"/>
      <c r="E563" s="104"/>
      <c r="F563" s="104"/>
      <c r="G563" s="104"/>
      <c r="H563" s="105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  <c r="AA563" s="104"/>
      <c r="AB563" s="104"/>
      <c r="AC563" s="104"/>
    </row>
    <row r="564">
      <c r="A564" s="104"/>
      <c r="B564" s="104"/>
      <c r="C564" s="104"/>
      <c r="D564" s="104"/>
      <c r="E564" s="104"/>
      <c r="F564" s="104"/>
      <c r="G564" s="104"/>
      <c r="H564" s="105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  <c r="AA564" s="104"/>
      <c r="AB564" s="104"/>
      <c r="AC564" s="104"/>
    </row>
    <row r="565">
      <c r="A565" s="104"/>
      <c r="B565" s="104"/>
      <c r="C565" s="104"/>
      <c r="D565" s="104"/>
      <c r="E565" s="104"/>
      <c r="F565" s="104"/>
      <c r="G565" s="104"/>
      <c r="H565" s="105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  <c r="AA565" s="104"/>
      <c r="AB565" s="104"/>
      <c r="AC565" s="104"/>
    </row>
    <row r="566">
      <c r="A566" s="104"/>
      <c r="B566" s="104"/>
      <c r="C566" s="104"/>
      <c r="D566" s="104"/>
      <c r="E566" s="104"/>
      <c r="F566" s="104"/>
      <c r="G566" s="104"/>
      <c r="H566" s="105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  <c r="AA566" s="104"/>
      <c r="AB566" s="104"/>
      <c r="AC566" s="104"/>
    </row>
    <row r="567">
      <c r="A567" s="104"/>
      <c r="B567" s="104"/>
      <c r="C567" s="104"/>
      <c r="D567" s="104"/>
      <c r="E567" s="104"/>
      <c r="F567" s="104"/>
      <c r="G567" s="104"/>
      <c r="H567" s="105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  <c r="AA567" s="104"/>
      <c r="AB567" s="104"/>
      <c r="AC567" s="104"/>
    </row>
    <row r="568">
      <c r="A568" s="104"/>
      <c r="B568" s="104"/>
      <c r="C568" s="104"/>
      <c r="D568" s="104"/>
      <c r="E568" s="104"/>
      <c r="F568" s="104"/>
      <c r="G568" s="104"/>
      <c r="H568" s="105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  <c r="AA568" s="104"/>
      <c r="AB568" s="104"/>
      <c r="AC568" s="104"/>
    </row>
    <row r="569">
      <c r="A569" s="104"/>
      <c r="B569" s="104"/>
      <c r="C569" s="104"/>
      <c r="D569" s="104"/>
      <c r="E569" s="104"/>
      <c r="F569" s="104"/>
      <c r="G569" s="104"/>
      <c r="H569" s="105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  <c r="AA569" s="104"/>
      <c r="AB569" s="104"/>
      <c r="AC569" s="104"/>
    </row>
    <row r="570">
      <c r="A570" s="104"/>
      <c r="B570" s="104"/>
      <c r="C570" s="104"/>
      <c r="D570" s="104"/>
      <c r="E570" s="104"/>
      <c r="F570" s="104"/>
      <c r="G570" s="104"/>
      <c r="H570" s="105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  <c r="AA570" s="104"/>
      <c r="AB570" s="104"/>
      <c r="AC570" s="104"/>
    </row>
    <row r="571">
      <c r="A571" s="104"/>
      <c r="B571" s="104"/>
      <c r="C571" s="104"/>
      <c r="D571" s="104"/>
      <c r="E571" s="104"/>
      <c r="F571" s="104"/>
      <c r="G571" s="104"/>
      <c r="H571" s="105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  <c r="AA571" s="104"/>
      <c r="AB571" s="104"/>
      <c r="AC571" s="104"/>
    </row>
    <row r="572">
      <c r="A572" s="104"/>
      <c r="B572" s="104"/>
      <c r="C572" s="104"/>
      <c r="D572" s="104"/>
      <c r="E572" s="104"/>
      <c r="F572" s="104"/>
      <c r="G572" s="104"/>
      <c r="H572" s="105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  <c r="AA572" s="104"/>
      <c r="AB572" s="104"/>
      <c r="AC572" s="104"/>
    </row>
    <row r="573">
      <c r="A573" s="104"/>
      <c r="B573" s="104"/>
      <c r="C573" s="104"/>
      <c r="D573" s="104"/>
      <c r="E573" s="104"/>
      <c r="F573" s="104"/>
      <c r="G573" s="104"/>
      <c r="H573" s="105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  <c r="AA573" s="104"/>
      <c r="AB573" s="104"/>
      <c r="AC573" s="104"/>
    </row>
    <row r="574">
      <c r="A574" s="104"/>
      <c r="B574" s="104"/>
      <c r="C574" s="104"/>
      <c r="D574" s="104"/>
      <c r="E574" s="104"/>
      <c r="F574" s="104"/>
      <c r="G574" s="104"/>
      <c r="H574" s="105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  <c r="AA574" s="104"/>
      <c r="AB574" s="104"/>
      <c r="AC574" s="104"/>
    </row>
    <row r="575">
      <c r="A575" s="104"/>
      <c r="B575" s="104"/>
      <c r="C575" s="104"/>
      <c r="D575" s="104"/>
      <c r="E575" s="104"/>
      <c r="F575" s="104"/>
      <c r="G575" s="104"/>
      <c r="H575" s="105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  <c r="AA575" s="104"/>
      <c r="AB575" s="104"/>
      <c r="AC575" s="104"/>
    </row>
    <row r="576">
      <c r="A576" s="104"/>
      <c r="B576" s="104"/>
      <c r="C576" s="104"/>
      <c r="D576" s="104"/>
      <c r="E576" s="104"/>
      <c r="F576" s="104"/>
      <c r="G576" s="104"/>
      <c r="H576" s="105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  <c r="AA576" s="104"/>
      <c r="AB576" s="104"/>
      <c r="AC576" s="104"/>
    </row>
    <row r="577">
      <c r="A577" s="104"/>
      <c r="B577" s="104"/>
      <c r="C577" s="104"/>
      <c r="D577" s="104"/>
      <c r="E577" s="104"/>
      <c r="F577" s="104"/>
      <c r="G577" s="104"/>
      <c r="H577" s="105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  <c r="AA577" s="104"/>
      <c r="AB577" s="104"/>
      <c r="AC577" s="104"/>
    </row>
    <row r="578">
      <c r="A578" s="104"/>
      <c r="B578" s="104"/>
      <c r="C578" s="104"/>
      <c r="D578" s="104"/>
      <c r="E578" s="104"/>
      <c r="F578" s="104"/>
      <c r="G578" s="104"/>
      <c r="H578" s="105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  <c r="AA578" s="104"/>
      <c r="AB578" s="104"/>
      <c r="AC578" s="104"/>
    </row>
    <row r="579">
      <c r="A579" s="104"/>
      <c r="B579" s="104"/>
      <c r="C579" s="104"/>
      <c r="D579" s="104"/>
      <c r="E579" s="104"/>
      <c r="F579" s="104"/>
      <c r="G579" s="104"/>
      <c r="H579" s="105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  <c r="AA579" s="104"/>
      <c r="AB579" s="104"/>
      <c r="AC579" s="104"/>
    </row>
    <row r="580">
      <c r="A580" s="104"/>
      <c r="B580" s="104"/>
      <c r="C580" s="104"/>
      <c r="D580" s="104"/>
      <c r="E580" s="104"/>
      <c r="F580" s="104"/>
      <c r="G580" s="104"/>
      <c r="H580" s="105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  <c r="AA580" s="104"/>
      <c r="AB580" s="104"/>
      <c r="AC580" s="104"/>
    </row>
    <row r="581">
      <c r="A581" s="104"/>
      <c r="B581" s="104"/>
      <c r="C581" s="104"/>
      <c r="D581" s="104"/>
      <c r="E581" s="104"/>
      <c r="F581" s="104"/>
      <c r="G581" s="104"/>
      <c r="H581" s="105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  <c r="AA581" s="104"/>
      <c r="AB581" s="104"/>
      <c r="AC581" s="104"/>
    </row>
    <row r="582">
      <c r="A582" s="104"/>
      <c r="B582" s="104"/>
      <c r="C582" s="104"/>
      <c r="D582" s="104"/>
      <c r="E582" s="104"/>
      <c r="F582" s="104"/>
      <c r="G582" s="104"/>
      <c r="H582" s="105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  <c r="AA582" s="104"/>
      <c r="AB582" s="104"/>
      <c r="AC582" s="104"/>
    </row>
    <row r="583">
      <c r="A583" s="104"/>
      <c r="B583" s="104"/>
      <c r="C583" s="104"/>
      <c r="D583" s="104"/>
      <c r="E583" s="104"/>
      <c r="F583" s="104"/>
      <c r="G583" s="104"/>
      <c r="H583" s="105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  <c r="AA583" s="104"/>
      <c r="AB583" s="104"/>
      <c r="AC583" s="104"/>
    </row>
    <row r="584">
      <c r="A584" s="104"/>
      <c r="B584" s="104"/>
      <c r="C584" s="104"/>
      <c r="D584" s="104"/>
      <c r="E584" s="104"/>
      <c r="F584" s="104"/>
      <c r="G584" s="104"/>
      <c r="H584" s="105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  <c r="AA584" s="104"/>
      <c r="AB584" s="104"/>
      <c r="AC584" s="104"/>
    </row>
    <row r="585">
      <c r="A585" s="104"/>
      <c r="B585" s="104"/>
      <c r="C585" s="104"/>
      <c r="D585" s="104"/>
      <c r="E585" s="104"/>
      <c r="F585" s="104"/>
      <c r="G585" s="104"/>
      <c r="H585" s="105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  <c r="AA585" s="104"/>
      <c r="AB585" s="104"/>
      <c r="AC585" s="104"/>
    </row>
    <row r="586">
      <c r="A586" s="104"/>
      <c r="B586" s="104"/>
      <c r="C586" s="104"/>
      <c r="D586" s="104"/>
      <c r="E586" s="104"/>
      <c r="F586" s="104"/>
      <c r="G586" s="104"/>
      <c r="H586" s="105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  <c r="AA586" s="104"/>
      <c r="AB586" s="104"/>
      <c r="AC586" s="104"/>
    </row>
    <row r="587">
      <c r="A587" s="104"/>
      <c r="B587" s="104"/>
      <c r="C587" s="104"/>
      <c r="D587" s="104"/>
      <c r="E587" s="104"/>
      <c r="F587" s="104"/>
      <c r="G587" s="104"/>
      <c r="H587" s="105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  <c r="AA587" s="104"/>
      <c r="AB587" s="104"/>
      <c r="AC587" s="104"/>
    </row>
    <row r="588">
      <c r="A588" s="104"/>
      <c r="B588" s="104"/>
      <c r="C588" s="104"/>
      <c r="D588" s="104"/>
      <c r="E588" s="104"/>
      <c r="F588" s="104"/>
      <c r="G588" s="104"/>
      <c r="H588" s="105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  <c r="AA588" s="104"/>
      <c r="AB588" s="104"/>
      <c r="AC588" s="104"/>
    </row>
    <row r="589">
      <c r="A589" s="104"/>
      <c r="B589" s="104"/>
      <c r="C589" s="104"/>
      <c r="D589" s="104"/>
      <c r="E589" s="104"/>
      <c r="F589" s="104"/>
      <c r="G589" s="104"/>
      <c r="H589" s="105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  <c r="AA589" s="104"/>
      <c r="AB589" s="104"/>
      <c r="AC589" s="104"/>
    </row>
    <row r="590">
      <c r="A590" s="104"/>
      <c r="B590" s="104"/>
      <c r="C590" s="104"/>
      <c r="D590" s="104"/>
      <c r="E590" s="104"/>
      <c r="F590" s="104"/>
      <c r="G590" s="104"/>
      <c r="H590" s="105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  <c r="AA590" s="104"/>
      <c r="AB590" s="104"/>
      <c r="AC590" s="104"/>
    </row>
    <row r="591">
      <c r="A591" s="104"/>
      <c r="B591" s="104"/>
      <c r="C591" s="104"/>
      <c r="D591" s="104"/>
      <c r="E591" s="104"/>
      <c r="F591" s="104"/>
      <c r="G591" s="104"/>
      <c r="H591" s="105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  <c r="AA591" s="104"/>
      <c r="AB591" s="104"/>
      <c r="AC591" s="104"/>
    </row>
    <row r="592">
      <c r="A592" s="104"/>
      <c r="B592" s="104"/>
      <c r="C592" s="104"/>
      <c r="D592" s="104"/>
      <c r="E592" s="104"/>
      <c r="F592" s="104"/>
      <c r="G592" s="104"/>
      <c r="H592" s="105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</row>
    <row r="593">
      <c r="A593" s="104"/>
      <c r="B593" s="104"/>
      <c r="C593" s="104"/>
      <c r="D593" s="104"/>
      <c r="E593" s="104"/>
      <c r="F593" s="104"/>
      <c r="G593" s="104"/>
      <c r="H593" s="105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  <c r="AA593" s="104"/>
      <c r="AB593" s="104"/>
      <c r="AC593" s="104"/>
    </row>
    <row r="594">
      <c r="A594" s="104"/>
      <c r="B594" s="104"/>
      <c r="C594" s="104"/>
      <c r="D594" s="104"/>
      <c r="E594" s="104"/>
      <c r="F594" s="104"/>
      <c r="G594" s="104"/>
      <c r="H594" s="105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  <c r="AA594" s="104"/>
      <c r="AB594" s="104"/>
      <c r="AC594" s="104"/>
    </row>
    <row r="595">
      <c r="A595" s="104"/>
      <c r="B595" s="104"/>
      <c r="C595" s="104"/>
      <c r="D595" s="104"/>
      <c r="E595" s="104"/>
      <c r="F595" s="104"/>
      <c r="G595" s="104"/>
      <c r="H595" s="105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  <c r="AA595" s="104"/>
      <c r="AB595" s="104"/>
      <c r="AC595" s="104"/>
    </row>
    <row r="596">
      <c r="A596" s="104"/>
      <c r="B596" s="104"/>
      <c r="C596" s="104"/>
      <c r="D596" s="104"/>
      <c r="E596" s="104"/>
      <c r="F596" s="104"/>
      <c r="G596" s="104"/>
      <c r="H596" s="105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  <c r="AA596" s="104"/>
      <c r="AB596" s="104"/>
      <c r="AC596" s="104"/>
    </row>
    <row r="597">
      <c r="A597" s="104"/>
      <c r="B597" s="104"/>
      <c r="C597" s="104"/>
      <c r="D597" s="104"/>
      <c r="E597" s="104"/>
      <c r="F597" s="104"/>
      <c r="G597" s="104"/>
      <c r="H597" s="105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  <c r="AA597" s="104"/>
      <c r="AB597" s="104"/>
      <c r="AC597" s="104"/>
    </row>
    <row r="598">
      <c r="A598" s="104"/>
      <c r="B598" s="104"/>
      <c r="C598" s="104"/>
      <c r="D598" s="104"/>
      <c r="E598" s="104"/>
      <c r="F598" s="104"/>
      <c r="G598" s="104"/>
      <c r="H598" s="105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  <c r="AA598" s="104"/>
      <c r="AB598" s="104"/>
      <c r="AC598" s="104"/>
    </row>
    <row r="599">
      <c r="A599" s="104"/>
      <c r="B599" s="104"/>
      <c r="C599" s="104"/>
      <c r="D599" s="104"/>
      <c r="E599" s="104"/>
      <c r="F599" s="104"/>
      <c r="G599" s="104"/>
      <c r="H599" s="105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  <c r="AA599" s="104"/>
      <c r="AB599" s="104"/>
      <c r="AC599" s="104"/>
    </row>
    <row r="600">
      <c r="A600" s="104"/>
      <c r="B600" s="104"/>
      <c r="C600" s="104"/>
      <c r="D600" s="104"/>
      <c r="E600" s="104"/>
      <c r="F600" s="104"/>
      <c r="G600" s="104"/>
      <c r="H600" s="105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  <c r="AA600" s="104"/>
      <c r="AB600" s="104"/>
      <c r="AC600" s="104"/>
    </row>
    <row r="601">
      <c r="A601" s="104"/>
      <c r="B601" s="104"/>
      <c r="C601" s="104"/>
      <c r="D601" s="104"/>
      <c r="E601" s="104"/>
      <c r="F601" s="104"/>
      <c r="G601" s="104"/>
      <c r="H601" s="105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  <c r="AA601" s="104"/>
      <c r="AB601" s="104"/>
      <c r="AC601" s="104"/>
    </row>
    <row r="602">
      <c r="A602" s="104"/>
      <c r="B602" s="104"/>
      <c r="C602" s="104"/>
      <c r="D602" s="104"/>
      <c r="E602" s="104"/>
      <c r="F602" s="104"/>
      <c r="G602" s="104"/>
      <c r="H602" s="105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  <c r="AA602" s="104"/>
      <c r="AB602" s="104"/>
      <c r="AC602" s="104"/>
    </row>
    <row r="603">
      <c r="A603" s="104"/>
      <c r="B603" s="104"/>
      <c r="C603" s="104"/>
      <c r="D603" s="104"/>
      <c r="E603" s="104"/>
      <c r="F603" s="104"/>
      <c r="G603" s="104"/>
      <c r="H603" s="105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  <c r="AA603" s="104"/>
      <c r="AB603" s="104"/>
      <c r="AC603" s="104"/>
    </row>
    <row r="604">
      <c r="A604" s="104"/>
      <c r="B604" s="104"/>
      <c r="C604" s="104"/>
      <c r="D604" s="104"/>
      <c r="E604" s="104"/>
      <c r="F604" s="104"/>
      <c r="G604" s="104"/>
      <c r="H604" s="105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  <c r="AA604" s="104"/>
      <c r="AB604" s="104"/>
      <c r="AC604" s="104"/>
    </row>
    <row r="605">
      <c r="A605" s="104"/>
      <c r="B605" s="104"/>
      <c r="C605" s="104"/>
      <c r="D605" s="104"/>
      <c r="E605" s="104"/>
      <c r="F605" s="104"/>
      <c r="G605" s="104"/>
      <c r="H605" s="105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  <c r="AA605" s="104"/>
      <c r="AB605" s="104"/>
      <c r="AC605" s="104"/>
    </row>
    <row r="606">
      <c r="A606" s="104"/>
      <c r="B606" s="104"/>
      <c r="C606" s="104"/>
      <c r="D606" s="104"/>
      <c r="E606" s="104"/>
      <c r="F606" s="104"/>
      <c r="G606" s="104"/>
      <c r="H606" s="105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  <c r="AA606" s="104"/>
      <c r="AB606" s="104"/>
      <c r="AC606" s="104"/>
    </row>
    <row r="607">
      <c r="A607" s="104"/>
      <c r="B607" s="104"/>
      <c r="C607" s="104"/>
      <c r="D607" s="104"/>
      <c r="E607" s="104"/>
      <c r="F607" s="104"/>
      <c r="G607" s="104"/>
      <c r="H607" s="105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  <c r="AA607" s="104"/>
      <c r="AB607" s="104"/>
      <c r="AC607" s="104"/>
    </row>
    <row r="608">
      <c r="A608" s="104"/>
      <c r="B608" s="104"/>
      <c r="C608" s="104"/>
      <c r="D608" s="104"/>
      <c r="E608" s="104"/>
      <c r="F608" s="104"/>
      <c r="G608" s="104"/>
      <c r="H608" s="105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  <c r="AA608" s="104"/>
      <c r="AB608" s="104"/>
      <c r="AC608" s="104"/>
    </row>
    <row r="609">
      <c r="A609" s="104"/>
      <c r="B609" s="104"/>
      <c r="C609" s="104"/>
      <c r="D609" s="104"/>
      <c r="E609" s="104"/>
      <c r="F609" s="104"/>
      <c r="G609" s="104"/>
      <c r="H609" s="105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  <c r="AA609" s="104"/>
      <c r="AB609" s="104"/>
      <c r="AC609" s="104"/>
    </row>
    <row r="610">
      <c r="A610" s="104"/>
      <c r="B610" s="104"/>
      <c r="C610" s="104"/>
      <c r="D610" s="104"/>
      <c r="E610" s="104"/>
      <c r="F610" s="104"/>
      <c r="G610" s="104"/>
      <c r="H610" s="105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  <c r="AA610" s="104"/>
      <c r="AB610" s="104"/>
      <c r="AC610" s="104"/>
    </row>
    <row r="611">
      <c r="A611" s="104"/>
      <c r="B611" s="104"/>
      <c r="C611" s="104"/>
      <c r="D611" s="104"/>
      <c r="E611" s="104"/>
      <c r="F611" s="104"/>
      <c r="G611" s="104"/>
      <c r="H611" s="105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  <c r="AA611" s="104"/>
      <c r="AB611" s="104"/>
      <c r="AC611" s="104"/>
    </row>
    <row r="612">
      <c r="A612" s="104"/>
      <c r="B612" s="104"/>
      <c r="C612" s="104"/>
      <c r="D612" s="104"/>
      <c r="E612" s="104"/>
      <c r="F612" s="104"/>
      <c r="G612" s="104"/>
      <c r="H612" s="105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  <c r="AA612" s="104"/>
      <c r="AB612" s="104"/>
      <c r="AC612" s="104"/>
    </row>
    <row r="613">
      <c r="A613" s="104"/>
      <c r="B613" s="104"/>
      <c r="C613" s="104"/>
      <c r="D613" s="104"/>
      <c r="E613" s="104"/>
      <c r="F613" s="104"/>
      <c r="G613" s="104"/>
      <c r="H613" s="105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  <c r="AA613" s="104"/>
      <c r="AB613" s="104"/>
      <c r="AC613" s="104"/>
    </row>
    <row r="614">
      <c r="A614" s="104"/>
      <c r="B614" s="104"/>
      <c r="C614" s="104"/>
      <c r="D614" s="104"/>
      <c r="E614" s="104"/>
      <c r="F614" s="104"/>
      <c r="G614" s="104"/>
      <c r="H614" s="105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  <c r="AA614" s="104"/>
      <c r="AB614" s="104"/>
      <c r="AC614" s="104"/>
    </row>
    <row r="615">
      <c r="A615" s="104"/>
      <c r="B615" s="104"/>
      <c r="C615" s="104"/>
      <c r="D615" s="104"/>
      <c r="E615" s="104"/>
      <c r="F615" s="104"/>
      <c r="G615" s="104"/>
      <c r="H615" s="105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  <c r="AA615" s="104"/>
      <c r="AB615" s="104"/>
      <c r="AC615" s="104"/>
    </row>
    <row r="616">
      <c r="A616" s="104"/>
      <c r="B616" s="104"/>
      <c r="C616" s="104"/>
      <c r="D616" s="104"/>
      <c r="E616" s="104"/>
      <c r="F616" s="104"/>
      <c r="G616" s="104"/>
      <c r="H616" s="105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  <c r="AA616" s="104"/>
      <c r="AB616" s="104"/>
      <c r="AC616" s="104"/>
    </row>
    <row r="617">
      <c r="A617" s="104"/>
      <c r="B617" s="104"/>
      <c r="C617" s="104"/>
      <c r="D617" s="104"/>
      <c r="E617" s="104"/>
      <c r="F617" s="104"/>
      <c r="G617" s="104"/>
      <c r="H617" s="105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  <c r="AA617" s="104"/>
      <c r="AB617" s="104"/>
      <c r="AC617" s="104"/>
    </row>
    <row r="618">
      <c r="A618" s="104"/>
      <c r="B618" s="104"/>
      <c r="C618" s="104"/>
      <c r="D618" s="104"/>
      <c r="E618" s="104"/>
      <c r="F618" s="104"/>
      <c r="G618" s="104"/>
      <c r="H618" s="105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  <c r="AA618" s="104"/>
      <c r="AB618" s="104"/>
      <c r="AC618" s="104"/>
    </row>
    <row r="619">
      <c r="A619" s="104"/>
      <c r="B619" s="104"/>
      <c r="C619" s="104"/>
      <c r="D619" s="104"/>
      <c r="E619" s="104"/>
      <c r="F619" s="104"/>
      <c r="G619" s="104"/>
      <c r="H619" s="105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  <c r="AA619" s="104"/>
      <c r="AB619" s="104"/>
      <c r="AC619" s="104"/>
    </row>
    <row r="620">
      <c r="A620" s="104"/>
      <c r="B620" s="104"/>
      <c r="C620" s="104"/>
      <c r="D620" s="104"/>
      <c r="E620" s="104"/>
      <c r="F620" s="104"/>
      <c r="G620" s="104"/>
      <c r="H620" s="105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  <c r="AA620" s="104"/>
      <c r="AB620" s="104"/>
      <c r="AC620" s="104"/>
    </row>
    <row r="621">
      <c r="A621" s="104"/>
      <c r="B621" s="104"/>
      <c r="C621" s="104"/>
      <c r="D621" s="104"/>
      <c r="E621" s="104"/>
      <c r="F621" s="104"/>
      <c r="G621" s="104"/>
      <c r="H621" s="105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  <c r="AA621" s="104"/>
      <c r="AB621" s="104"/>
      <c r="AC621" s="104"/>
    </row>
    <row r="622">
      <c r="A622" s="104"/>
      <c r="B622" s="104"/>
      <c r="C622" s="104"/>
      <c r="D622" s="104"/>
      <c r="E622" s="104"/>
      <c r="F622" s="104"/>
      <c r="G622" s="104"/>
      <c r="H622" s="105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  <c r="AA622" s="104"/>
      <c r="AB622" s="104"/>
      <c r="AC622" s="104"/>
    </row>
    <row r="623">
      <c r="A623" s="104"/>
      <c r="B623" s="104"/>
      <c r="C623" s="104"/>
      <c r="D623" s="104"/>
      <c r="E623" s="104"/>
      <c r="F623" s="104"/>
      <c r="G623" s="104"/>
      <c r="H623" s="105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  <c r="AA623" s="104"/>
      <c r="AB623" s="104"/>
      <c r="AC623" s="104"/>
    </row>
    <row r="624">
      <c r="A624" s="104"/>
      <c r="B624" s="104"/>
      <c r="C624" s="104"/>
      <c r="D624" s="104"/>
      <c r="E624" s="104"/>
      <c r="F624" s="104"/>
      <c r="G624" s="104"/>
      <c r="H624" s="105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  <c r="AA624" s="104"/>
      <c r="AB624" s="104"/>
      <c r="AC624" s="104"/>
    </row>
    <row r="625">
      <c r="A625" s="104"/>
      <c r="B625" s="104"/>
      <c r="C625" s="104"/>
      <c r="D625" s="104"/>
      <c r="E625" s="104"/>
      <c r="F625" s="104"/>
      <c r="G625" s="104"/>
      <c r="H625" s="105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  <c r="AA625" s="104"/>
      <c r="AB625" s="104"/>
      <c r="AC625" s="104"/>
    </row>
    <row r="626">
      <c r="A626" s="104"/>
      <c r="B626" s="104"/>
      <c r="C626" s="104"/>
      <c r="D626" s="104"/>
      <c r="E626" s="104"/>
      <c r="F626" s="104"/>
      <c r="G626" s="104"/>
      <c r="H626" s="105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  <c r="AA626" s="104"/>
      <c r="AB626" s="104"/>
      <c r="AC626" s="104"/>
    </row>
    <row r="627">
      <c r="A627" s="104"/>
      <c r="B627" s="104"/>
      <c r="C627" s="104"/>
      <c r="D627" s="104"/>
      <c r="E627" s="104"/>
      <c r="F627" s="104"/>
      <c r="G627" s="104"/>
      <c r="H627" s="105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  <c r="AA627" s="104"/>
      <c r="AB627" s="104"/>
      <c r="AC627" s="104"/>
    </row>
    <row r="628">
      <c r="A628" s="104"/>
      <c r="B628" s="104"/>
      <c r="C628" s="104"/>
      <c r="D628" s="104"/>
      <c r="E628" s="104"/>
      <c r="F628" s="104"/>
      <c r="G628" s="104"/>
      <c r="H628" s="105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  <c r="AA628" s="104"/>
      <c r="AB628" s="104"/>
      <c r="AC628" s="104"/>
    </row>
    <row r="629">
      <c r="A629" s="104"/>
      <c r="B629" s="104"/>
      <c r="C629" s="104"/>
      <c r="D629" s="104"/>
      <c r="E629" s="104"/>
      <c r="F629" s="104"/>
      <c r="G629" s="104"/>
      <c r="H629" s="105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  <c r="AA629" s="104"/>
      <c r="AB629" s="104"/>
      <c r="AC629" s="104"/>
    </row>
    <row r="630">
      <c r="A630" s="104"/>
      <c r="B630" s="104"/>
      <c r="C630" s="104"/>
      <c r="D630" s="104"/>
      <c r="E630" s="104"/>
      <c r="F630" s="104"/>
      <c r="G630" s="104"/>
      <c r="H630" s="105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  <c r="AA630" s="104"/>
      <c r="AB630" s="104"/>
      <c r="AC630" s="104"/>
    </row>
    <row r="631">
      <c r="A631" s="104"/>
      <c r="B631" s="104"/>
      <c r="C631" s="104"/>
      <c r="D631" s="104"/>
      <c r="E631" s="104"/>
      <c r="F631" s="104"/>
      <c r="G631" s="104"/>
      <c r="H631" s="105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  <c r="AA631" s="104"/>
      <c r="AB631" s="104"/>
      <c r="AC631" s="104"/>
    </row>
    <row r="632">
      <c r="A632" s="104"/>
      <c r="B632" s="104"/>
      <c r="C632" s="104"/>
      <c r="D632" s="104"/>
      <c r="E632" s="104"/>
      <c r="F632" s="104"/>
      <c r="G632" s="104"/>
      <c r="H632" s="105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  <c r="AA632" s="104"/>
      <c r="AB632" s="104"/>
      <c r="AC632" s="104"/>
    </row>
    <row r="633">
      <c r="A633" s="104"/>
      <c r="B633" s="104"/>
      <c r="C633" s="104"/>
      <c r="D633" s="104"/>
      <c r="E633" s="104"/>
      <c r="F633" s="104"/>
      <c r="G633" s="104"/>
      <c r="H633" s="105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  <c r="AA633" s="104"/>
      <c r="AB633" s="104"/>
      <c r="AC633" s="104"/>
    </row>
    <row r="634">
      <c r="A634" s="104"/>
      <c r="B634" s="104"/>
      <c r="C634" s="104"/>
      <c r="D634" s="104"/>
      <c r="E634" s="104"/>
      <c r="F634" s="104"/>
      <c r="G634" s="104"/>
      <c r="H634" s="105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  <c r="AA634" s="104"/>
      <c r="AB634" s="104"/>
      <c r="AC634" s="104"/>
    </row>
    <row r="635">
      <c r="A635" s="104"/>
      <c r="B635" s="104"/>
      <c r="C635" s="104"/>
      <c r="D635" s="104"/>
      <c r="E635" s="104"/>
      <c r="F635" s="104"/>
      <c r="G635" s="104"/>
      <c r="H635" s="105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  <c r="AA635" s="104"/>
      <c r="AB635" s="104"/>
      <c r="AC635" s="104"/>
    </row>
    <row r="636">
      <c r="A636" s="104"/>
      <c r="B636" s="104"/>
      <c r="C636" s="104"/>
      <c r="D636" s="104"/>
      <c r="E636" s="104"/>
      <c r="F636" s="104"/>
      <c r="G636" s="104"/>
      <c r="H636" s="105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  <c r="AA636" s="104"/>
      <c r="AB636" s="104"/>
      <c r="AC636" s="104"/>
    </row>
    <row r="637">
      <c r="A637" s="104"/>
      <c r="B637" s="104"/>
      <c r="C637" s="104"/>
      <c r="D637" s="104"/>
      <c r="E637" s="104"/>
      <c r="F637" s="104"/>
      <c r="G637" s="104"/>
      <c r="H637" s="105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  <c r="AA637" s="104"/>
      <c r="AB637" s="104"/>
      <c r="AC637" s="104"/>
    </row>
    <row r="638">
      <c r="A638" s="104"/>
      <c r="B638" s="104"/>
      <c r="C638" s="104"/>
      <c r="D638" s="104"/>
      <c r="E638" s="104"/>
      <c r="F638" s="104"/>
      <c r="G638" s="104"/>
      <c r="H638" s="105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  <c r="AA638" s="104"/>
      <c r="AB638" s="104"/>
      <c r="AC638" s="104"/>
    </row>
    <row r="639">
      <c r="A639" s="104"/>
      <c r="B639" s="104"/>
      <c r="C639" s="104"/>
      <c r="D639" s="104"/>
      <c r="E639" s="104"/>
      <c r="F639" s="104"/>
      <c r="G639" s="104"/>
      <c r="H639" s="105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  <c r="AA639" s="104"/>
      <c r="AB639" s="104"/>
      <c r="AC639" s="104"/>
    </row>
    <row r="640">
      <c r="A640" s="104"/>
      <c r="B640" s="104"/>
      <c r="C640" s="104"/>
      <c r="D640" s="104"/>
      <c r="E640" s="104"/>
      <c r="F640" s="104"/>
      <c r="G640" s="104"/>
      <c r="H640" s="105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  <c r="AA640" s="104"/>
      <c r="AB640" s="104"/>
      <c r="AC640" s="104"/>
    </row>
    <row r="641">
      <c r="A641" s="104"/>
      <c r="B641" s="104"/>
      <c r="C641" s="104"/>
      <c r="D641" s="104"/>
      <c r="E641" s="104"/>
      <c r="F641" s="104"/>
      <c r="G641" s="104"/>
      <c r="H641" s="105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  <c r="AA641" s="104"/>
      <c r="AB641" s="104"/>
      <c r="AC641" s="104"/>
    </row>
    <row r="642">
      <c r="A642" s="104"/>
      <c r="B642" s="104"/>
      <c r="C642" s="104"/>
      <c r="D642" s="104"/>
      <c r="E642" s="104"/>
      <c r="F642" s="104"/>
      <c r="G642" s="104"/>
      <c r="H642" s="105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  <c r="AA642" s="104"/>
      <c r="AB642" s="104"/>
      <c r="AC642" s="104"/>
    </row>
    <row r="643">
      <c r="A643" s="104"/>
      <c r="B643" s="104"/>
      <c r="C643" s="104"/>
      <c r="D643" s="104"/>
      <c r="E643" s="104"/>
      <c r="F643" s="104"/>
      <c r="G643" s="104"/>
      <c r="H643" s="105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  <c r="AA643" s="104"/>
      <c r="AB643" s="104"/>
      <c r="AC643" s="104"/>
    </row>
    <row r="644">
      <c r="A644" s="104"/>
      <c r="B644" s="104"/>
      <c r="C644" s="104"/>
      <c r="D644" s="104"/>
      <c r="E644" s="104"/>
      <c r="F644" s="104"/>
      <c r="G644" s="104"/>
      <c r="H644" s="105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  <c r="AA644" s="104"/>
      <c r="AB644" s="104"/>
      <c r="AC644" s="104"/>
    </row>
    <row r="645">
      <c r="A645" s="104"/>
      <c r="B645" s="104"/>
      <c r="C645" s="104"/>
      <c r="D645" s="104"/>
      <c r="E645" s="104"/>
      <c r="F645" s="104"/>
      <c r="G645" s="104"/>
      <c r="H645" s="105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  <c r="AA645" s="104"/>
      <c r="AB645" s="104"/>
      <c r="AC645" s="104"/>
    </row>
    <row r="646">
      <c r="A646" s="104"/>
      <c r="B646" s="104"/>
      <c r="C646" s="104"/>
      <c r="D646" s="104"/>
      <c r="E646" s="104"/>
      <c r="F646" s="104"/>
      <c r="G646" s="104"/>
      <c r="H646" s="105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  <c r="AA646" s="104"/>
      <c r="AB646" s="104"/>
      <c r="AC646" s="104"/>
    </row>
    <row r="647">
      <c r="A647" s="104"/>
      <c r="B647" s="104"/>
      <c r="C647" s="104"/>
      <c r="D647" s="104"/>
      <c r="E647" s="104"/>
      <c r="F647" s="104"/>
      <c r="G647" s="104"/>
      <c r="H647" s="105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  <c r="AA647" s="104"/>
      <c r="AB647" s="104"/>
      <c r="AC647" s="104"/>
    </row>
    <row r="648">
      <c r="A648" s="104"/>
      <c r="B648" s="104"/>
      <c r="C648" s="104"/>
      <c r="D648" s="104"/>
      <c r="E648" s="104"/>
      <c r="F648" s="104"/>
      <c r="G648" s="104"/>
      <c r="H648" s="105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  <c r="AA648" s="104"/>
      <c r="AB648" s="104"/>
      <c r="AC648" s="104"/>
    </row>
    <row r="649">
      <c r="A649" s="104"/>
      <c r="B649" s="104"/>
      <c r="C649" s="104"/>
      <c r="D649" s="104"/>
      <c r="E649" s="104"/>
      <c r="F649" s="104"/>
      <c r="G649" s="104"/>
      <c r="H649" s="105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  <c r="AA649" s="104"/>
      <c r="AB649" s="104"/>
      <c r="AC649" s="104"/>
    </row>
    <row r="650">
      <c r="A650" s="104"/>
      <c r="B650" s="104"/>
      <c r="C650" s="104"/>
      <c r="D650" s="104"/>
      <c r="E650" s="104"/>
      <c r="F650" s="104"/>
      <c r="G650" s="104"/>
      <c r="H650" s="105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  <c r="AA650" s="104"/>
      <c r="AB650" s="104"/>
      <c r="AC650" s="104"/>
    </row>
    <row r="651">
      <c r="A651" s="104"/>
      <c r="B651" s="104"/>
      <c r="C651" s="104"/>
      <c r="D651" s="104"/>
      <c r="E651" s="104"/>
      <c r="F651" s="104"/>
      <c r="G651" s="104"/>
      <c r="H651" s="105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  <c r="AA651" s="104"/>
      <c r="AB651" s="104"/>
      <c r="AC651" s="104"/>
    </row>
    <row r="652">
      <c r="A652" s="104"/>
      <c r="B652" s="104"/>
      <c r="C652" s="104"/>
      <c r="D652" s="104"/>
      <c r="E652" s="104"/>
      <c r="F652" s="104"/>
      <c r="G652" s="104"/>
      <c r="H652" s="105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  <c r="AA652" s="104"/>
      <c r="AB652" s="104"/>
      <c r="AC652" s="104"/>
    </row>
    <row r="653">
      <c r="A653" s="104"/>
      <c r="B653" s="104"/>
      <c r="C653" s="104"/>
      <c r="D653" s="104"/>
      <c r="E653" s="104"/>
      <c r="F653" s="104"/>
      <c r="G653" s="104"/>
      <c r="H653" s="105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  <c r="AA653" s="104"/>
      <c r="AB653" s="104"/>
      <c r="AC653" s="104"/>
    </row>
    <row r="654">
      <c r="A654" s="104"/>
      <c r="B654" s="104"/>
      <c r="C654" s="104"/>
      <c r="D654" s="104"/>
      <c r="E654" s="104"/>
      <c r="F654" s="104"/>
      <c r="G654" s="104"/>
      <c r="H654" s="105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  <c r="AA654" s="104"/>
      <c r="AB654" s="104"/>
      <c r="AC654" s="104"/>
    </row>
    <row r="655">
      <c r="A655" s="104"/>
      <c r="B655" s="104"/>
      <c r="C655" s="104"/>
      <c r="D655" s="104"/>
      <c r="E655" s="104"/>
      <c r="F655" s="104"/>
      <c r="G655" s="104"/>
      <c r="H655" s="105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  <c r="AA655" s="104"/>
      <c r="AB655" s="104"/>
      <c r="AC655" s="104"/>
    </row>
    <row r="656">
      <c r="A656" s="104"/>
      <c r="B656" s="104"/>
      <c r="C656" s="104"/>
      <c r="D656" s="104"/>
      <c r="E656" s="104"/>
      <c r="F656" s="104"/>
      <c r="G656" s="104"/>
      <c r="H656" s="105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  <c r="AB656" s="104"/>
      <c r="AC656" s="104"/>
    </row>
    <row r="657">
      <c r="A657" s="104"/>
      <c r="B657" s="104"/>
      <c r="C657" s="104"/>
      <c r="D657" s="104"/>
      <c r="E657" s="104"/>
      <c r="F657" s="104"/>
      <c r="G657" s="104"/>
      <c r="H657" s="105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04"/>
      <c r="AC657" s="104"/>
    </row>
    <row r="658">
      <c r="A658" s="104"/>
      <c r="B658" s="104"/>
      <c r="C658" s="104"/>
      <c r="D658" s="104"/>
      <c r="E658" s="104"/>
      <c r="F658" s="104"/>
      <c r="G658" s="104"/>
      <c r="H658" s="105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  <c r="AA658" s="104"/>
      <c r="AB658" s="104"/>
      <c r="AC658" s="104"/>
    </row>
    <row r="659">
      <c r="A659" s="104"/>
      <c r="B659" s="104"/>
      <c r="C659" s="104"/>
      <c r="D659" s="104"/>
      <c r="E659" s="104"/>
      <c r="F659" s="104"/>
      <c r="G659" s="104"/>
      <c r="H659" s="105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  <c r="AA659" s="104"/>
      <c r="AB659" s="104"/>
      <c r="AC659" s="104"/>
    </row>
    <row r="660">
      <c r="A660" s="104"/>
      <c r="B660" s="104"/>
      <c r="C660" s="104"/>
      <c r="D660" s="104"/>
      <c r="E660" s="104"/>
      <c r="F660" s="104"/>
      <c r="G660" s="104"/>
      <c r="H660" s="105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  <c r="AA660" s="104"/>
      <c r="AB660" s="104"/>
      <c r="AC660" s="104"/>
    </row>
    <row r="661">
      <c r="A661" s="104"/>
      <c r="B661" s="104"/>
      <c r="C661" s="104"/>
      <c r="D661" s="104"/>
      <c r="E661" s="104"/>
      <c r="F661" s="104"/>
      <c r="G661" s="104"/>
      <c r="H661" s="105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  <c r="AA661" s="104"/>
      <c r="AB661" s="104"/>
      <c r="AC661" s="104"/>
    </row>
    <row r="662">
      <c r="A662" s="104"/>
      <c r="B662" s="104"/>
      <c r="C662" s="104"/>
      <c r="D662" s="104"/>
      <c r="E662" s="104"/>
      <c r="F662" s="104"/>
      <c r="G662" s="104"/>
      <c r="H662" s="105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  <c r="AA662" s="104"/>
      <c r="AB662" s="104"/>
      <c r="AC662" s="104"/>
    </row>
    <row r="663">
      <c r="A663" s="104"/>
      <c r="B663" s="104"/>
      <c r="C663" s="104"/>
      <c r="D663" s="104"/>
      <c r="E663" s="104"/>
      <c r="F663" s="104"/>
      <c r="G663" s="104"/>
      <c r="H663" s="105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  <c r="AA663" s="104"/>
      <c r="AB663" s="104"/>
      <c r="AC663" s="104"/>
    </row>
    <row r="664">
      <c r="A664" s="104"/>
      <c r="B664" s="104"/>
      <c r="C664" s="104"/>
      <c r="D664" s="104"/>
      <c r="E664" s="104"/>
      <c r="F664" s="104"/>
      <c r="G664" s="104"/>
      <c r="H664" s="105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  <c r="AA664" s="104"/>
      <c r="AB664" s="104"/>
      <c r="AC664" s="104"/>
    </row>
    <row r="665">
      <c r="A665" s="104"/>
      <c r="B665" s="104"/>
      <c r="C665" s="104"/>
      <c r="D665" s="104"/>
      <c r="E665" s="104"/>
      <c r="F665" s="104"/>
      <c r="G665" s="104"/>
      <c r="H665" s="105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  <c r="AA665" s="104"/>
      <c r="AB665" s="104"/>
      <c r="AC665" s="104"/>
    </row>
    <row r="666">
      <c r="A666" s="104"/>
      <c r="B666" s="104"/>
      <c r="C666" s="104"/>
      <c r="D666" s="104"/>
      <c r="E666" s="104"/>
      <c r="F666" s="104"/>
      <c r="G666" s="104"/>
      <c r="H666" s="105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  <c r="AA666" s="104"/>
      <c r="AB666" s="104"/>
      <c r="AC666" s="104"/>
    </row>
    <row r="667">
      <c r="A667" s="104"/>
      <c r="B667" s="104"/>
      <c r="C667" s="104"/>
      <c r="D667" s="104"/>
      <c r="E667" s="104"/>
      <c r="F667" s="104"/>
      <c r="G667" s="104"/>
      <c r="H667" s="105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</row>
    <row r="668">
      <c r="A668" s="104"/>
      <c r="B668" s="104"/>
      <c r="C668" s="104"/>
      <c r="D668" s="104"/>
      <c r="E668" s="104"/>
      <c r="F668" s="104"/>
      <c r="G668" s="104"/>
      <c r="H668" s="105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  <c r="AA668" s="104"/>
      <c r="AB668" s="104"/>
      <c r="AC668" s="104"/>
    </row>
    <row r="669">
      <c r="A669" s="104"/>
      <c r="B669" s="104"/>
      <c r="C669" s="104"/>
      <c r="D669" s="104"/>
      <c r="E669" s="104"/>
      <c r="F669" s="104"/>
      <c r="G669" s="104"/>
      <c r="H669" s="105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  <c r="AA669" s="104"/>
      <c r="AB669" s="104"/>
      <c r="AC669" s="104"/>
    </row>
    <row r="670">
      <c r="A670" s="104"/>
      <c r="B670" s="104"/>
      <c r="C670" s="104"/>
      <c r="D670" s="104"/>
      <c r="E670" s="104"/>
      <c r="F670" s="104"/>
      <c r="G670" s="104"/>
      <c r="H670" s="105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  <c r="AA670" s="104"/>
      <c r="AB670" s="104"/>
      <c r="AC670" s="104"/>
    </row>
    <row r="671">
      <c r="A671" s="104"/>
      <c r="B671" s="104"/>
      <c r="C671" s="104"/>
      <c r="D671" s="104"/>
      <c r="E671" s="104"/>
      <c r="F671" s="104"/>
      <c r="G671" s="104"/>
      <c r="H671" s="105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  <c r="AA671" s="104"/>
      <c r="AB671" s="104"/>
      <c r="AC671" s="104"/>
    </row>
    <row r="672">
      <c r="A672" s="104"/>
      <c r="B672" s="104"/>
      <c r="C672" s="104"/>
      <c r="D672" s="104"/>
      <c r="E672" s="104"/>
      <c r="F672" s="104"/>
      <c r="G672" s="104"/>
      <c r="H672" s="105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  <c r="AA672" s="104"/>
      <c r="AB672" s="104"/>
      <c r="AC672" s="104"/>
    </row>
    <row r="673">
      <c r="A673" s="104"/>
      <c r="B673" s="104"/>
      <c r="C673" s="104"/>
      <c r="D673" s="104"/>
      <c r="E673" s="104"/>
      <c r="F673" s="104"/>
      <c r="G673" s="104"/>
      <c r="H673" s="105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  <c r="AA673" s="104"/>
      <c r="AB673" s="104"/>
      <c r="AC673" s="104"/>
    </row>
    <row r="674">
      <c r="A674" s="104"/>
      <c r="B674" s="104"/>
      <c r="C674" s="104"/>
      <c r="D674" s="104"/>
      <c r="E674" s="104"/>
      <c r="F674" s="104"/>
      <c r="G674" s="104"/>
      <c r="H674" s="105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  <c r="AA674" s="104"/>
      <c r="AB674" s="104"/>
      <c r="AC674" s="104"/>
    </row>
    <row r="675">
      <c r="A675" s="104"/>
      <c r="B675" s="104"/>
      <c r="C675" s="104"/>
      <c r="D675" s="104"/>
      <c r="E675" s="104"/>
      <c r="F675" s="104"/>
      <c r="G675" s="104"/>
      <c r="H675" s="105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  <c r="AA675" s="104"/>
      <c r="AB675" s="104"/>
      <c r="AC675" s="104"/>
    </row>
    <row r="676">
      <c r="A676" s="104"/>
      <c r="B676" s="104"/>
      <c r="C676" s="104"/>
      <c r="D676" s="104"/>
      <c r="E676" s="104"/>
      <c r="F676" s="104"/>
      <c r="G676" s="104"/>
      <c r="H676" s="105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  <c r="AA676" s="104"/>
      <c r="AB676" s="104"/>
      <c r="AC676" s="104"/>
    </row>
    <row r="677">
      <c r="A677" s="104"/>
      <c r="B677" s="104"/>
      <c r="C677" s="104"/>
      <c r="D677" s="104"/>
      <c r="E677" s="104"/>
      <c r="F677" s="104"/>
      <c r="G677" s="104"/>
      <c r="H677" s="105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  <c r="AA677" s="104"/>
      <c r="AB677" s="104"/>
      <c r="AC677" s="104"/>
    </row>
    <row r="678">
      <c r="A678" s="104"/>
      <c r="B678" s="104"/>
      <c r="C678" s="104"/>
      <c r="D678" s="104"/>
      <c r="E678" s="104"/>
      <c r="F678" s="104"/>
      <c r="G678" s="104"/>
      <c r="H678" s="105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  <c r="AA678" s="104"/>
      <c r="AB678" s="104"/>
      <c r="AC678" s="104"/>
    </row>
    <row r="679">
      <c r="A679" s="104"/>
      <c r="B679" s="104"/>
      <c r="C679" s="104"/>
      <c r="D679" s="104"/>
      <c r="E679" s="104"/>
      <c r="F679" s="104"/>
      <c r="G679" s="104"/>
      <c r="H679" s="105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  <c r="AA679" s="104"/>
      <c r="AB679" s="104"/>
      <c r="AC679" s="104"/>
    </row>
    <row r="680">
      <c r="A680" s="104"/>
      <c r="B680" s="104"/>
      <c r="C680" s="104"/>
      <c r="D680" s="104"/>
      <c r="E680" s="104"/>
      <c r="F680" s="104"/>
      <c r="G680" s="104"/>
      <c r="H680" s="105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  <c r="AA680" s="104"/>
      <c r="AB680" s="104"/>
      <c r="AC680" s="104"/>
    </row>
    <row r="681">
      <c r="A681" s="104"/>
      <c r="B681" s="104"/>
      <c r="C681" s="104"/>
      <c r="D681" s="104"/>
      <c r="E681" s="104"/>
      <c r="F681" s="104"/>
      <c r="G681" s="104"/>
      <c r="H681" s="105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  <c r="AA681" s="104"/>
      <c r="AB681" s="104"/>
      <c r="AC681" s="104"/>
    </row>
    <row r="682">
      <c r="A682" s="104"/>
      <c r="B682" s="104"/>
      <c r="C682" s="104"/>
      <c r="D682" s="104"/>
      <c r="E682" s="104"/>
      <c r="F682" s="104"/>
      <c r="G682" s="104"/>
      <c r="H682" s="105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  <c r="AA682" s="104"/>
      <c r="AB682" s="104"/>
      <c r="AC682" s="104"/>
    </row>
    <row r="683">
      <c r="A683" s="104"/>
      <c r="B683" s="104"/>
      <c r="C683" s="104"/>
      <c r="D683" s="104"/>
      <c r="E683" s="104"/>
      <c r="F683" s="104"/>
      <c r="G683" s="104"/>
      <c r="H683" s="105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  <c r="AA683" s="104"/>
      <c r="AB683" s="104"/>
      <c r="AC683" s="104"/>
    </row>
    <row r="684">
      <c r="A684" s="104"/>
      <c r="B684" s="104"/>
      <c r="C684" s="104"/>
      <c r="D684" s="104"/>
      <c r="E684" s="104"/>
      <c r="F684" s="104"/>
      <c r="G684" s="104"/>
      <c r="H684" s="105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  <c r="AA684" s="104"/>
      <c r="AB684" s="104"/>
      <c r="AC684" s="104"/>
    </row>
    <row r="685">
      <c r="A685" s="104"/>
      <c r="B685" s="104"/>
      <c r="C685" s="104"/>
      <c r="D685" s="104"/>
      <c r="E685" s="104"/>
      <c r="F685" s="104"/>
      <c r="G685" s="104"/>
      <c r="H685" s="105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  <c r="AA685" s="104"/>
      <c r="AB685" s="104"/>
      <c r="AC685" s="104"/>
    </row>
    <row r="686">
      <c r="A686" s="104"/>
      <c r="B686" s="104"/>
      <c r="C686" s="104"/>
      <c r="D686" s="104"/>
      <c r="E686" s="104"/>
      <c r="F686" s="104"/>
      <c r="G686" s="104"/>
      <c r="H686" s="105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  <c r="AA686" s="104"/>
      <c r="AB686" s="104"/>
      <c r="AC686" s="104"/>
    </row>
    <row r="687">
      <c r="A687" s="104"/>
      <c r="B687" s="104"/>
      <c r="C687" s="104"/>
      <c r="D687" s="104"/>
      <c r="E687" s="104"/>
      <c r="F687" s="104"/>
      <c r="G687" s="104"/>
      <c r="H687" s="105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  <c r="AA687" s="104"/>
      <c r="AB687" s="104"/>
      <c r="AC687" s="104"/>
    </row>
    <row r="688">
      <c r="A688" s="104"/>
      <c r="B688" s="104"/>
      <c r="C688" s="104"/>
      <c r="D688" s="104"/>
      <c r="E688" s="104"/>
      <c r="F688" s="104"/>
      <c r="G688" s="104"/>
      <c r="H688" s="105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  <c r="AA688" s="104"/>
      <c r="AB688" s="104"/>
      <c r="AC688" s="104"/>
    </row>
    <row r="689">
      <c r="A689" s="104"/>
      <c r="B689" s="104"/>
      <c r="C689" s="104"/>
      <c r="D689" s="104"/>
      <c r="E689" s="104"/>
      <c r="F689" s="104"/>
      <c r="G689" s="104"/>
      <c r="H689" s="105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  <c r="AA689" s="104"/>
      <c r="AB689" s="104"/>
      <c r="AC689" s="104"/>
    </row>
    <row r="690">
      <c r="A690" s="104"/>
      <c r="B690" s="104"/>
      <c r="C690" s="104"/>
      <c r="D690" s="104"/>
      <c r="E690" s="104"/>
      <c r="F690" s="104"/>
      <c r="G690" s="104"/>
      <c r="H690" s="105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  <c r="AA690" s="104"/>
      <c r="AB690" s="104"/>
      <c r="AC690" s="104"/>
    </row>
    <row r="691">
      <c r="A691" s="104"/>
      <c r="B691" s="104"/>
      <c r="C691" s="104"/>
      <c r="D691" s="104"/>
      <c r="E691" s="104"/>
      <c r="F691" s="104"/>
      <c r="G691" s="104"/>
      <c r="H691" s="105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  <c r="AA691" s="104"/>
      <c r="AB691" s="104"/>
      <c r="AC691" s="104"/>
    </row>
    <row r="692">
      <c r="A692" s="104"/>
      <c r="B692" s="104"/>
      <c r="C692" s="104"/>
      <c r="D692" s="104"/>
      <c r="E692" s="104"/>
      <c r="F692" s="104"/>
      <c r="G692" s="104"/>
      <c r="H692" s="105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  <c r="AA692" s="104"/>
      <c r="AB692" s="104"/>
      <c r="AC692" s="104"/>
    </row>
    <row r="693">
      <c r="A693" s="104"/>
      <c r="B693" s="104"/>
      <c r="C693" s="104"/>
      <c r="D693" s="104"/>
      <c r="E693" s="104"/>
      <c r="F693" s="104"/>
      <c r="G693" s="104"/>
      <c r="H693" s="105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  <c r="AA693" s="104"/>
      <c r="AB693" s="104"/>
      <c r="AC693" s="104"/>
    </row>
    <row r="694">
      <c r="A694" s="104"/>
      <c r="B694" s="104"/>
      <c r="C694" s="104"/>
      <c r="D694" s="104"/>
      <c r="E694" s="104"/>
      <c r="F694" s="104"/>
      <c r="G694" s="104"/>
      <c r="H694" s="105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  <c r="AA694" s="104"/>
      <c r="AB694" s="104"/>
      <c r="AC694" s="104"/>
    </row>
    <row r="695">
      <c r="A695" s="104"/>
      <c r="B695" s="104"/>
      <c r="C695" s="104"/>
      <c r="D695" s="104"/>
      <c r="E695" s="104"/>
      <c r="F695" s="104"/>
      <c r="G695" s="104"/>
      <c r="H695" s="105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  <c r="AA695" s="104"/>
      <c r="AB695" s="104"/>
      <c r="AC695" s="104"/>
    </row>
    <row r="696">
      <c r="A696" s="104"/>
      <c r="B696" s="104"/>
      <c r="C696" s="104"/>
      <c r="D696" s="104"/>
      <c r="E696" s="104"/>
      <c r="F696" s="104"/>
      <c r="G696" s="104"/>
      <c r="H696" s="105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  <c r="AA696" s="104"/>
      <c r="AB696" s="104"/>
      <c r="AC696" s="104"/>
    </row>
    <row r="697">
      <c r="A697" s="104"/>
      <c r="B697" s="104"/>
      <c r="C697" s="104"/>
      <c r="D697" s="104"/>
      <c r="E697" s="104"/>
      <c r="F697" s="104"/>
      <c r="G697" s="104"/>
      <c r="H697" s="105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  <c r="AA697" s="104"/>
      <c r="AB697" s="104"/>
      <c r="AC697" s="104"/>
    </row>
    <row r="698">
      <c r="A698" s="104"/>
      <c r="B698" s="104"/>
      <c r="C698" s="104"/>
      <c r="D698" s="104"/>
      <c r="E698" s="104"/>
      <c r="F698" s="104"/>
      <c r="G698" s="104"/>
      <c r="H698" s="105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  <c r="AA698" s="104"/>
      <c r="AB698" s="104"/>
      <c r="AC698" s="104"/>
    </row>
    <row r="699">
      <c r="A699" s="104"/>
      <c r="B699" s="104"/>
      <c r="C699" s="104"/>
      <c r="D699" s="104"/>
      <c r="E699" s="104"/>
      <c r="F699" s="104"/>
      <c r="G699" s="104"/>
      <c r="H699" s="105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  <c r="AA699" s="104"/>
      <c r="AB699" s="104"/>
      <c r="AC699" s="104"/>
    </row>
    <row r="700">
      <c r="A700" s="104"/>
      <c r="B700" s="104"/>
      <c r="C700" s="104"/>
      <c r="D700" s="104"/>
      <c r="E700" s="104"/>
      <c r="F700" s="104"/>
      <c r="G700" s="104"/>
      <c r="H700" s="105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  <c r="AA700" s="104"/>
      <c r="AB700" s="104"/>
      <c r="AC700" s="104"/>
    </row>
    <row r="701">
      <c r="A701" s="104"/>
      <c r="B701" s="104"/>
      <c r="C701" s="104"/>
      <c r="D701" s="104"/>
      <c r="E701" s="104"/>
      <c r="F701" s="104"/>
      <c r="G701" s="104"/>
      <c r="H701" s="105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  <c r="AA701" s="104"/>
      <c r="AB701" s="104"/>
      <c r="AC701" s="104"/>
    </row>
    <row r="702">
      <c r="A702" s="104"/>
      <c r="B702" s="104"/>
      <c r="C702" s="104"/>
      <c r="D702" s="104"/>
      <c r="E702" s="104"/>
      <c r="F702" s="104"/>
      <c r="G702" s="104"/>
      <c r="H702" s="105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  <c r="AA702" s="104"/>
      <c r="AB702" s="104"/>
      <c r="AC702" s="104"/>
    </row>
    <row r="703">
      <c r="A703" s="104"/>
      <c r="B703" s="104"/>
      <c r="C703" s="104"/>
      <c r="D703" s="104"/>
      <c r="E703" s="104"/>
      <c r="F703" s="104"/>
      <c r="G703" s="104"/>
      <c r="H703" s="105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  <c r="AA703" s="104"/>
      <c r="AB703" s="104"/>
      <c r="AC703" s="104"/>
    </row>
    <row r="704">
      <c r="A704" s="104"/>
      <c r="B704" s="104"/>
      <c r="C704" s="104"/>
      <c r="D704" s="104"/>
      <c r="E704" s="104"/>
      <c r="F704" s="104"/>
      <c r="G704" s="104"/>
      <c r="H704" s="105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  <c r="AA704" s="104"/>
      <c r="AB704" s="104"/>
      <c r="AC704" s="104"/>
    </row>
    <row r="705">
      <c r="A705" s="104"/>
      <c r="B705" s="104"/>
      <c r="C705" s="104"/>
      <c r="D705" s="104"/>
      <c r="E705" s="104"/>
      <c r="F705" s="104"/>
      <c r="G705" s="104"/>
      <c r="H705" s="105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  <c r="AA705" s="104"/>
      <c r="AB705" s="104"/>
      <c r="AC705" s="104"/>
    </row>
    <row r="706">
      <c r="A706" s="104"/>
      <c r="B706" s="104"/>
      <c r="C706" s="104"/>
      <c r="D706" s="104"/>
      <c r="E706" s="104"/>
      <c r="F706" s="104"/>
      <c r="G706" s="104"/>
      <c r="H706" s="105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  <c r="AA706" s="104"/>
      <c r="AB706" s="104"/>
      <c r="AC706" s="104"/>
    </row>
    <row r="707">
      <c r="A707" s="104"/>
      <c r="B707" s="104"/>
      <c r="C707" s="104"/>
      <c r="D707" s="104"/>
      <c r="E707" s="104"/>
      <c r="F707" s="104"/>
      <c r="G707" s="104"/>
      <c r="H707" s="105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  <c r="AA707" s="104"/>
      <c r="AB707" s="104"/>
      <c r="AC707" s="104"/>
    </row>
    <row r="708">
      <c r="A708" s="104"/>
      <c r="B708" s="104"/>
      <c r="C708" s="104"/>
      <c r="D708" s="104"/>
      <c r="E708" s="104"/>
      <c r="F708" s="104"/>
      <c r="G708" s="104"/>
      <c r="H708" s="105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  <c r="AA708" s="104"/>
      <c r="AB708" s="104"/>
      <c r="AC708" s="104"/>
    </row>
    <row r="709">
      <c r="A709" s="104"/>
      <c r="B709" s="104"/>
      <c r="C709" s="104"/>
      <c r="D709" s="104"/>
      <c r="E709" s="104"/>
      <c r="F709" s="104"/>
      <c r="G709" s="104"/>
      <c r="H709" s="105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  <c r="AA709" s="104"/>
      <c r="AB709" s="104"/>
      <c r="AC709" s="104"/>
    </row>
    <row r="710">
      <c r="A710" s="104"/>
      <c r="B710" s="104"/>
      <c r="C710" s="104"/>
      <c r="D710" s="104"/>
      <c r="E710" s="104"/>
      <c r="F710" s="104"/>
      <c r="G710" s="104"/>
      <c r="H710" s="105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  <c r="AA710" s="104"/>
      <c r="AB710" s="104"/>
      <c r="AC710" s="104"/>
    </row>
    <row r="711">
      <c r="A711" s="104"/>
      <c r="B711" s="104"/>
      <c r="C711" s="104"/>
      <c r="D711" s="104"/>
      <c r="E711" s="104"/>
      <c r="F711" s="104"/>
      <c r="G711" s="104"/>
      <c r="H711" s="105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  <c r="AA711" s="104"/>
      <c r="AB711" s="104"/>
      <c r="AC711" s="104"/>
    </row>
    <row r="712">
      <c r="A712" s="104"/>
      <c r="B712" s="104"/>
      <c r="C712" s="104"/>
      <c r="D712" s="104"/>
      <c r="E712" s="104"/>
      <c r="F712" s="104"/>
      <c r="G712" s="104"/>
      <c r="H712" s="105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  <c r="AA712" s="104"/>
      <c r="AB712" s="104"/>
      <c r="AC712" s="104"/>
    </row>
    <row r="713">
      <c r="A713" s="104"/>
      <c r="B713" s="104"/>
      <c r="C713" s="104"/>
      <c r="D713" s="104"/>
      <c r="E713" s="104"/>
      <c r="F713" s="104"/>
      <c r="G713" s="104"/>
      <c r="H713" s="105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  <c r="AA713" s="104"/>
      <c r="AB713" s="104"/>
      <c r="AC713" s="104"/>
    </row>
    <row r="714">
      <c r="A714" s="104"/>
      <c r="B714" s="104"/>
      <c r="C714" s="104"/>
      <c r="D714" s="104"/>
      <c r="E714" s="104"/>
      <c r="F714" s="104"/>
      <c r="G714" s="104"/>
      <c r="H714" s="105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  <c r="AA714" s="104"/>
      <c r="AB714" s="104"/>
      <c r="AC714" s="104"/>
    </row>
    <row r="715">
      <c r="A715" s="104"/>
      <c r="B715" s="104"/>
      <c r="C715" s="104"/>
      <c r="D715" s="104"/>
      <c r="E715" s="104"/>
      <c r="F715" s="104"/>
      <c r="G715" s="104"/>
      <c r="H715" s="105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  <c r="AA715" s="104"/>
      <c r="AB715" s="104"/>
      <c r="AC715" s="104"/>
    </row>
    <row r="716">
      <c r="A716" s="104"/>
      <c r="B716" s="104"/>
      <c r="C716" s="104"/>
      <c r="D716" s="104"/>
      <c r="E716" s="104"/>
      <c r="F716" s="104"/>
      <c r="G716" s="104"/>
      <c r="H716" s="105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  <c r="AA716" s="104"/>
      <c r="AB716" s="104"/>
      <c r="AC716" s="104"/>
    </row>
    <row r="717">
      <c r="A717" s="104"/>
      <c r="B717" s="104"/>
      <c r="C717" s="104"/>
      <c r="D717" s="104"/>
      <c r="E717" s="104"/>
      <c r="F717" s="104"/>
      <c r="G717" s="104"/>
      <c r="H717" s="105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  <c r="AA717" s="104"/>
      <c r="AB717" s="104"/>
      <c r="AC717" s="104"/>
    </row>
    <row r="718">
      <c r="A718" s="104"/>
      <c r="B718" s="104"/>
      <c r="C718" s="104"/>
      <c r="D718" s="104"/>
      <c r="E718" s="104"/>
      <c r="F718" s="104"/>
      <c r="G718" s="104"/>
      <c r="H718" s="105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  <c r="AA718" s="104"/>
      <c r="AB718" s="104"/>
      <c r="AC718" s="104"/>
    </row>
    <row r="719">
      <c r="A719" s="104"/>
      <c r="B719" s="104"/>
      <c r="C719" s="104"/>
      <c r="D719" s="104"/>
      <c r="E719" s="104"/>
      <c r="F719" s="104"/>
      <c r="G719" s="104"/>
      <c r="H719" s="105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  <c r="AA719" s="104"/>
      <c r="AB719" s="104"/>
      <c r="AC719" s="104"/>
    </row>
    <row r="720">
      <c r="A720" s="104"/>
      <c r="B720" s="104"/>
      <c r="C720" s="104"/>
      <c r="D720" s="104"/>
      <c r="E720" s="104"/>
      <c r="F720" s="104"/>
      <c r="G720" s="104"/>
      <c r="H720" s="105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  <c r="AA720" s="104"/>
      <c r="AB720" s="104"/>
      <c r="AC720" s="104"/>
    </row>
    <row r="721">
      <c r="A721" s="104"/>
      <c r="B721" s="104"/>
      <c r="C721" s="104"/>
      <c r="D721" s="104"/>
      <c r="E721" s="104"/>
      <c r="F721" s="104"/>
      <c r="G721" s="104"/>
      <c r="H721" s="105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  <c r="AA721" s="104"/>
      <c r="AB721" s="104"/>
      <c r="AC721" s="104"/>
    </row>
    <row r="722">
      <c r="A722" s="104"/>
      <c r="B722" s="104"/>
      <c r="C722" s="104"/>
      <c r="D722" s="104"/>
      <c r="E722" s="104"/>
      <c r="F722" s="104"/>
      <c r="G722" s="104"/>
      <c r="H722" s="105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  <c r="AA722" s="104"/>
      <c r="AB722" s="104"/>
      <c r="AC722" s="104"/>
    </row>
    <row r="723">
      <c r="A723" s="104"/>
      <c r="B723" s="104"/>
      <c r="C723" s="104"/>
      <c r="D723" s="104"/>
      <c r="E723" s="104"/>
      <c r="F723" s="104"/>
      <c r="G723" s="104"/>
      <c r="H723" s="105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  <c r="AA723" s="104"/>
      <c r="AB723" s="104"/>
      <c r="AC723" s="104"/>
    </row>
    <row r="724">
      <c r="A724" s="104"/>
      <c r="B724" s="104"/>
      <c r="C724" s="104"/>
      <c r="D724" s="104"/>
      <c r="E724" s="104"/>
      <c r="F724" s="104"/>
      <c r="G724" s="104"/>
      <c r="H724" s="105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  <c r="AA724" s="104"/>
      <c r="AB724" s="104"/>
      <c r="AC724" s="104"/>
    </row>
    <row r="725">
      <c r="A725" s="104"/>
      <c r="B725" s="104"/>
      <c r="C725" s="104"/>
      <c r="D725" s="104"/>
      <c r="E725" s="104"/>
      <c r="F725" s="104"/>
      <c r="G725" s="104"/>
      <c r="H725" s="105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  <c r="AA725" s="104"/>
      <c r="AB725" s="104"/>
      <c r="AC725" s="104"/>
    </row>
    <row r="726">
      <c r="A726" s="104"/>
      <c r="B726" s="104"/>
      <c r="C726" s="104"/>
      <c r="D726" s="104"/>
      <c r="E726" s="104"/>
      <c r="F726" s="104"/>
      <c r="G726" s="104"/>
      <c r="H726" s="105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  <c r="AA726" s="104"/>
      <c r="AB726" s="104"/>
      <c r="AC726" s="104"/>
    </row>
    <row r="727">
      <c r="A727" s="104"/>
      <c r="B727" s="104"/>
      <c r="C727" s="104"/>
      <c r="D727" s="104"/>
      <c r="E727" s="104"/>
      <c r="F727" s="104"/>
      <c r="G727" s="104"/>
      <c r="H727" s="105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  <c r="AA727" s="104"/>
      <c r="AB727" s="104"/>
      <c r="AC727" s="104"/>
    </row>
    <row r="728">
      <c r="A728" s="104"/>
      <c r="B728" s="104"/>
      <c r="C728" s="104"/>
      <c r="D728" s="104"/>
      <c r="E728" s="104"/>
      <c r="F728" s="104"/>
      <c r="G728" s="104"/>
      <c r="H728" s="105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  <c r="AA728" s="104"/>
      <c r="AB728" s="104"/>
      <c r="AC728" s="104"/>
    </row>
    <row r="729">
      <c r="A729" s="104"/>
      <c r="B729" s="104"/>
      <c r="C729" s="104"/>
      <c r="D729" s="104"/>
      <c r="E729" s="104"/>
      <c r="F729" s="104"/>
      <c r="G729" s="104"/>
      <c r="H729" s="105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  <c r="AA729" s="104"/>
      <c r="AB729" s="104"/>
      <c r="AC729" s="104"/>
    </row>
    <row r="730">
      <c r="A730" s="104"/>
      <c r="B730" s="104"/>
      <c r="C730" s="104"/>
      <c r="D730" s="104"/>
      <c r="E730" s="104"/>
      <c r="F730" s="104"/>
      <c r="G730" s="104"/>
      <c r="H730" s="105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  <c r="AA730" s="104"/>
      <c r="AB730" s="104"/>
      <c r="AC730" s="104"/>
    </row>
    <row r="731">
      <c r="A731" s="104"/>
      <c r="B731" s="104"/>
      <c r="C731" s="104"/>
      <c r="D731" s="104"/>
      <c r="E731" s="104"/>
      <c r="F731" s="104"/>
      <c r="G731" s="104"/>
      <c r="H731" s="105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  <c r="AA731" s="104"/>
      <c r="AB731" s="104"/>
      <c r="AC731" s="104"/>
    </row>
    <row r="732">
      <c r="A732" s="104"/>
      <c r="B732" s="104"/>
      <c r="C732" s="104"/>
      <c r="D732" s="104"/>
      <c r="E732" s="104"/>
      <c r="F732" s="104"/>
      <c r="G732" s="104"/>
      <c r="H732" s="105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  <c r="AA732" s="104"/>
      <c r="AB732" s="104"/>
      <c r="AC732" s="104"/>
    </row>
    <row r="733">
      <c r="A733" s="104"/>
      <c r="B733" s="104"/>
      <c r="C733" s="104"/>
      <c r="D733" s="104"/>
      <c r="E733" s="104"/>
      <c r="F733" s="104"/>
      <c r="G733" s="104"/>
      <c r="H733" s="105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  <c r="AA733" s="104"/>
      <c r="AB733" s="104"/>
      <c r="AC733" s="104"/>
    </row>
    <row r="734">
      <c r="A734" s="104"/>
      <c r="B734" s="104"/>
      <c r="C734" s="104"/>
      <c r="D734" s="104"/>
      <c r="E734" s="104"/>
      <c r="F734" s="104"/>
      <c r="G734" s="104"/>
      <c r="H734" s="105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  <c r="AA734" s="104"/>
      <c r="AB734" s="104"/>
      <c r="AC734" s="104"/>
    </row>
    <row r="735">
      <c r="A735" s="104"/>
      <c r="B735" s="104"/>
      <c r="C735" s="104"/>
      <c r="D735" s="104"/>
      <c r="E735" s="104"/>
      <c r="F735" s="104"/>
      <c r="G735" s="104"/>
      <c r="H735" s="105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  <c r="AA735" s="104"/>
      <c r="AB735" s="104"/>
      <c r="AC735" s="104"/>
    </row>
    <row r="736">
      <c r="A736" s="104"/>
      <c r="B736" s="104"/>
      <c r="C736" s="104"/>
      <c r="D736" s="104"/>
      <c r="E736" s="104"/>
      <c r="F736" s="104"/>
      <c r="G736" s="104"/>
      <c r="H736" s="105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  <c r="AA736" s="104"/>
      <c r="AB736" s="104"/>
      <c r="AC736" s="104"/>
    </row>
    <row r="737">
      <c r="A737" s="104"/>
      <c r="B737" s="104"/>
      <c r="C737" s="104"/>
      <c r="D737" s="104"/>
      <c r="E737" s="104"/>
      <c r="F737" s="104"/>
      <c r="G737" s="104"/>
      <c r="H737" s="105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  <c r="AA737" s="104"/>
      <c r="AB737" s="104"/>
      <c r="AC737" s="104"/>
    </row>
    <row r="738">
      <c r="A738" s="104"/>
      <c r="B738" s="104"/>
      <c r="C738" s="104"/>
      <c r="D738" s="104"/>
      <c r="E738" s="104"/>
      <c r="F738" s="104"/>
      <c r="G738" s="104"/>
      <c r="H738" s="105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  <c r="AA738" s="104"/>
      <c r="AB738" s="104"/>
      <c r="AC738" s="104"/>
    </row>
    <row r="739">
      <c r="A739" s="104"/>
      <c r="B739" s="104"/>
      <c r="C739" s="104"/>
      <c r="D739" s="104"/>
      <c r="E739" s="104"/>
      <c r="F739" s="104"/>
      <c r="G739" s="104"/>
      <c r="H739" s="105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  <c r="AA739" s="104"/>
      <c r="AB739" s="104"/>
      <c r="AC739" s="104"/>
    </row>
    <row r="740">
      <c r="A740" s="104"/>
      <c r="B740" s="104"/>
      <c r="C740" s="104"/>
      <c r="D740" s="104"/>
      <c r="E740" s="104"/>
      <c r="F740" s="104"/>
      <c r="G740" s="104"/>
      <c r="H740" s="105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  <c r="AA740" s="104"/>
      <c r="AB740" s="104"/>
      <c r="AC740" s="104"/>
    </row>
    <row r="741">
      <c r="A741" s="104"/>
      <c r="B741" s="104"/>
      <c r="C741" s="104"/>
      <c r="D741" s="104"/>
      <c r="E741" s="104"/>
      <c r="F741" s="104"/>
      <c r="G741" s="104"/>
      <c r="H741" s="105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  <c r="AA741" s="104"/>
      <c r="AB741" s="104"/>
      <c r="AC741" s="104"/>
    </row>
    <row r="742">
      <c r="A742" s="104"/>
      <c r="B742" s="104"/>
      <c r="C742" s="104"/>
      <c r="D742" s="104"/>
      <c r="E742" s="104"/>
      <c r="F742" s="104"/>
      <c r="G742" s="104"/>
      <c r="H742" s="105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  <c r="AA742" s="104"/>
      <c r="AB742" s="104"/>
      <c r="AC742" s="104"/>
    </row>
    <row r="743">
      <c r="A743" s="104"/>
      <c r="B743" s="104"/>
      <c r="C743" s="104"/>
      <c r="D743" s="104"/>
      <c r="E743" s="104"/>
      <c r="F743" s="104"/>
      <c r="G743" s="104"/>
      <c r="H743" s="105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  <c r="AA743" s="104"/>
      <c r="AB743" s="104"/>
      <c r="AC743" s="104"/>
    </row>
    <row r="744">
      <c r="A744" s="104"/>
      <c r="B744" s="104"/>
      <c r="C744" s="104"/>
      <c r="D744" s="104"/>
      <c r="E744" s="104"/>
      <c r="F744" s="104"/>
      <c r="G744" s="104"/>
      <c r="H744" s="105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</row>
    <row r="745">
      <c r="A745" s="104"/>
      <c r="B745" s="104"/>
      <c r="C745" s="104"/>
      <c r="D745" s="104"/>
      <c r="E745" s="104"/>
      <c r="F745" s="104"/>
      <c r="G745" s="104"/>
      <c r="H745" s="105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  <c r="AA745" s="104"/>
      <c r="AB745" s="104"/>
      <c r="AC745" s="104"/>
    </row>
    <row r="746">
      <c r="A746" s="104"/>
      <c r="B746" s="104"/>
      <c r="C746" s="104"/>
      <c r="D746" s="104"/>
      <c r="E746" s="104"/>
      <c r="F746" s="104"/>
      <c r="G746" s="104"/>
      <c r="H746" s="105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  <c r="AA746" s="104"/>
      <c r="AB746" s="104"/>
      <c r="AC746" s="104"/>
    </row>
    <row r="747">
      <c r="A747" s="104"/>
      <c r="B747" s="104"/>
      <c r="C747" s="104"/>
      <c r="D747" s="104"/>
      <c r="E747" s="104"/>
      <c r="F747" s="104"/>
      <c r="G747" s="104"/>
      <c r="H747" s="105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  <c r="AA747" s="104"/>
      <c r="AB747" s="104"/>
      <c r="AC747" s="104"/>
    </row>
    <row r="748">
      <c r="A748" s="104"/>
      <c r="B748" s="104"/>
      <c r="C748" s="104"/>
      <c r="D748" s="104"/>
      <c r="E748" s="104"/>
      <c r="F748" s="104"/>
      <c r="G748" s="104"/>
      <c r="H748" s="105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  <c r="AA748" s="104"/>
      <c r="AB748" s="104"/>
      <c r="AC748" s="104"/>
    </row>
    <row r="749">
      <c r="A749" s="104"/>
      <c r="B749" s="104"/>
      <c r="C749" s="104"/>
      <c r="D749" s="104"/>
      <c r="E749" s="104"/>
      <c r="F749" s="104"/>
      <c r="G749" s="104"/>
      <c r="H749" s="105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  <c r="AA749" s="104"/>
      <c r="AB749" s="104"/>
      <c r="AC749" s="104"/>
    </row>
    <row r="750">
      <c r="A750" s="104"/>
      <c r="B750" s="104"/>
      <c r="C750" s="104"/>
      <c r="D750" s="104"/>
      <c r="E750" s="104"/>
      <c r="F750" s="104"/>
      <c r="G750" s="104"/>
      <c r="H750" s="105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  <c r="AA750" s="104"/>
      <c r="AB750" s="104"/>
      <c r="AC750" s="104"/>
    </row>
    <row r="751">
      <c r="A751" s="104"/>
      <c r="B751" s="104"/>
      <c r="C751" s="104"/>
      <c r="D751" s="104"/>
      <c r="E751" s="104"/>
      <c r="F751" s="104"/>
      <c r="G751" s="104"/>
      <c r="H751" s="105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  <c r="AA751" s="104"/>
      <c r="AB751" s="104"/>
      <c r="AC751" s="104"/>
    </row>
    <row r="752">
      <c r="A752" s="104"/>
      <c r="B752" s="104"/>
      <c r="C752" s="104"/>
      <c r="D752" s="104"/>
      <c r="E752" s="104"/>
      <c r="F752" s="104"/>
      <c r="G752" s="104"/>
      <c r="H752" s="105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  <c r="AA752" s="104"/>
      <c r="AB752" s="104"/>
      <c r="AC752" s="104"/>
    </row>
    <row r="753">
      <c r="A753" s="104"/>
      <c r="B753" s="104"/>
      <c r="C753" s="104"/>
      <c r="D753" s="104"/>
      <c r="E753" s="104"/>
      <c r="F753" s="104"/>
      <c r="G753" s="104"/>
      <c r="H753" s="105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  <c r="AA753" s="104"/>
      <c r="AB753" s="104"/>
      <c r="AC753" s="104"/>
    </row>
    <row r="754">
      <c r="A754" s="104"/>
      <c r="B754" s="104"/>
      <c r="C754" s="104"/>
      <c r="D754" s="104"/>
      <c r="E754" s="104"/>
      <c r="F754" s="104"/>
      <c r="G754" s="104"/>
      <c r="H754" s="105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  <c r="AA754" s="104"/>
      <c r="AB754" s="104"/>
      <c r="AC754" s="104"/>
    </row>
    <row r="755">
      <c r="A755" s="104"/>
      <c r="B755" s="104"/>
      <c r="C755" s="104"/>
      <c r="D755" s="104"/>
      <c r="E755" s="104"/>
      <c r="F755" s="104"/>
      <c r="G755" s="104"/>
      <c r="H755" s="105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  <c r="AA755" s="104"/>
      <c r="AB755" s="104"/>
      <c r="AC755" s="104"/>
    </row>
    <row r="756">
      <c r="A756" s="104"/>
      <c r="B756" s="104"/>
      <c r="C756" s="104"/>
      <c r="D756" s="104"/>
      <c r="E756" s="104"/>
      <c r="F756" s="104"/>
      <c r="G756" s="104"/>
      <c r="H756" s="105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  <c r="AA756" s="104"/>
      <c r="AB756" s="104"/>
      <c r="AC756" s="104"/>
    </row>
    <row r="757">
      <c r="A757" s="104"/>
      <c r="B757" s="104"/>
      <c r="C757" s="104"/>
      <c r="D757" s="104"/>
      <c r="E757" s="104"/>
      <c r="F757" s="104"/>
      <c r="G757" s="104"/>
      <c r="H757" s="105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  <c r="AA757" s="104"/>
      <c r="AB757" s="104"/>
      <c r="AC757" s="104"/>
    </row>
    <row r="758">
      <c r="A758" s="104"/>
      <c r="B758" s="104"/>
      <c r="C758" s="104"/>
      <c r="D758" s="104"/>
      <c r="E758" s="104"/>
      <c r="F758" s="104"/>
      <c r="G758" s="104"/>
      <c r="H758" s="105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  <c r="AA758" s="104"/>
      <c r="AB758" s="104"/>
      <c r="AC758" s="104"/>
    </row>
    <row r="759">
      <c r="A759" s="104"/>
      <c r="B759" s="104"/>
      <c r="C759" s="104"/>
      <c r="D759" s="104"/>
      <c r="E759" s="104"/>
      <c r="F759" s="104"/>
      <c r="G759" s="104"/>
      <c r="H759" s="105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  <c r="AA759" s="104"/>
      <c r="AB759" s="104"/>
      <c r="AC759" s="104"/>
    </row>
    <row r="760">
      <c r="A760" s="104"/>
      <c r="B760" s="104"/>
      <c r="C760" s="104"/>
      <c r="D760" s="104"/>
      <c r="E760" s="104"/>
      <c r="F760" s="104"/>
      <c r="G760" s="104"/>
      <c r="H760" s="105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  <c r="AA760" s="104"/>
      <c r="AB760" s="104"/>
      <c r="AC760" s="104"/>
    </row>
    <row r="761">
      <c r="A761" s="104"/>
      <c r="B761" s="104"/>
      <c r="C761" s="104"/>
      <c r="D761" s="104"/>
      <c r="E761" s="104"/>
      <c r="F761" s="104"/>
      <c r="G761" s="104"/>
      <c r="H761" s="105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  <c r="AA761" s="104"/>
      <c r="AB761" s="104"/>
      <c r="AC761" s="104"/>
    </row>
    <row r="762">
      <c r="A762" s="104"/>
      <c r="B762" s="104"/>
      <c r="C762" s="104"/>
      <c r="D762" s="104"/>
      <c r="E762" s="104"/>
      <c r="F762" s="104"/>
      <c r="G762" s="104"/>
      <c r="H762" s="105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  <c r="AA762" s="104"/>
      <c r="AB762" s="104"/>
      <c r="AC762" s="104"/>
    </row>
    <row r="763">
      <c r="A763" s="104"/>
      <c r="B763" s="104"/>
      <c r="C763" s="104"/>
      <c r="D763" s="104"/>
      <c r="E763" s="104"/>
      <c r="F763" s="104"/>
      <c r="G763" s="104"/>
      <c r="H763" s="105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  <c r="AA763" s="104"/>
      <c r="AB763" s="104"/>
      <c r="AC763" s="104"/>
    </row>
    <row r="764">
      <c r="A764" s="104"/>
      <c r="B764" s="104"/>
      <c r="C764" s="104"/>
      <c r="D764" s="104"/>
      <c r="E764" s="104"/>
      <c r="F764" s="104"/>
      <c r="G764" s="104"/>
      <c r="H764" s="105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  <c r="AA764" s="104"/>
      <c r="AB764" s="104"/>
      <c r="AC764" s="104"/>
    </row>
    <row r="765">
      <c r="A765" s="104"/>
      <c r="B765" s="104"/>
      <c r="C765" s="104"/>
      <c r="D765" s="104"/>
      <c r="E765" s="104"/>
      <c r="F765" s="104"/>
      <c r="G765" s="104"/>
      <c r="H765" s="105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  <c r="AA765" s="104"/>
      <c r="AB765" s="104"/>
      <c r="AC765" s="104"/>
    </row>
    <row r="766">
      <c r="A766" s="104"/>
      <c r="B766" s="104"/>
      <c r="C766" s="104"/>
      <c r="D766" s="104"/>
      <c r="E766" s="104"/>
      <c r="F766" s="104"/>
      <c r="G766" s="104"/>
      <c r="H766" s="105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  <c r="AA766" s="104"/>
      <c r="AB766" s="104"/>
      <c r="AC766" s="104"/>
    </row>
    <row r="767">
      <c r="A767" s="104"/>
      <c r="B767" s="104"/>
      <c r="C767" s="104"/>
      <c r="D767" s="104"/>
      <c r="E767" s="104"/>
      <c r="F767" s="104"/>
      <c r="G767" s="104"/>
      <c r="H767" s="105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  <c r="AA767" s="104"/>
      <c r="AB767" s="104"/>
      <c r="AC767" s="104"/>
    </row>
    <row r="768">
      <c r="A768" s="104"/>
      <c r="B768" s="104"/>
      <c r="C768" s="104"/>
      <c r="D768" s="104"/>
      <c r="E768" s="104"/>
      <c r="F768" s="104"/>
      <c r="G768" s="104"/>
      <c r="H768" s="105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  <c r="AA768" s="104"/>
      <c r="AB768" s="104"/>
      <c r="AC768" s="104"/>
    </row>
    <row r="769">
      <c r="A769" s="104"/>
      <c r="B769" s="104"/>
      <c r="C769" s="104"/>
      <c r="D769" s="104"/>
      <c r="E769" s="104"/>
      <c r="F769" s="104"/>
      <c r="G769" s="104"/>
      <c r="H769" s="105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  <c r="AA769" s="104"/>
      <c r="AB769" s="104"/>
      <c r="AC769" s="104"/>
    </row>
    <row r="770">
      <c r="A770" s="104"/>
      <c r="B770" s="104"/>
      <c r="C770" s="104"/>
      <c r="D770" s="104"/>
      <c r="E770" s="104"/>
      <c r="F770" s="104"/>
      <c r="G770" s="104"/>
      <c r="H770" s="105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  <c r="AA770" s="104"/>
      <c r="AB770" s="104"/>
      <c r="AC770" s="104"/>
    </row>
    <row r="771">
      <c r="A771" s="104"/>
      <c r="B771" s="104"/>
      <c r="C771" s="104"/>
      <c r="D771" s="104"/>
      <c r="E771" s="104"/>
      <c r="F771" s="104"/>
      <c r="G771" s="104"/>
      <c r="H771" s="105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  <c r="AA771" s="104"/>
      <c r="AB771" s="104"/>
      <c r="AC771" s="104"/>
    </row>
    <row r="772">
      <c r="A772" s="104"/>
      <c r="B772" s="104"/>
      <c r="C772" s="104"/>
      <c r="D772" s="104"/>
      <c r="E772" s="104"/>
      <c r="F772" s="104"/>
      <c r="G772" s="104"/>
      <c r="H772" s="105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  <c r="AA772" s="104"/>
      <c r="AB772" s="104"/>
      <c r="AC772" s="104"/>
    </row>
    <row r="773">
      <c r="A773" s="104"/>
      <c r="B773" s="104"/>
      <c r="C773" s="104"/>
      <c r="D773" s="104"/>
      <c r="E773" s="104"/>
      <c r="F773" s="104"/>
      <c r="G773" s="104"/>
      <c r="H773" s="105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  <c r="AA773" s="104"/>
      <c r="AB773" s="104"/>
      <c r="AC773" s="104"/>
    </row>
    <row r="774">
      <c r="A774" s="104"/>
      <c r="B774" s="104"/>
      <c r="C774" s="104"/>
      <c r="D774" s="104"/>
      <c r="E774" s="104"/>
      <c r="F774" s="104"/>
      <c r="G774" s="104"/>
      <c r="H774" s="105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  <c r="AA774" s="104"/>
      <c r="AB774" s="104"/>
      <c r="AC774" s="104"/>
    </row>
    <row r="775">
      <c r="A775" s="104"/>
      <c r="B775" s="104"/>
      <c r="C775" s="104"/>
      <c r="D775" s="104"/>
      <c r="E775" s="104"/>
      <c r="F775" s="104"/>
      <c r="G775" s="104"/>
      <c r="H775" s="105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  <c r="AA775" s="104"/>
      <c r="AB775" s="104"/>
      <c r="AC775" s="104"/>
    </row>
    <row r="776">
      <c r="A776" s="104"/>
      <c r="B776" s="104"/>
      <c r="C776" s="104"/>
      <c r="D776" s="104"/>
      <c r="E776" s="104"/>
      <c r="F776" s="104"/>
      <c r="G776" s="104"/>
      <c r="H776" s="105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  <c r="AA776" s="104"/>
      <c r="AB776" s="104"/>
      <c r="AC776" s="104"/>
    </row>
    <row r="777">
      <c r="A777" s="104"/>
      <c r="B777" s="104"/>
      <c r="C777" s="104"/>
      <c r="D777" s="104"/>
      <c r="E777" s="104"/>
      <c r="F777" s="104"/>
      <c r="G777" s="104"/>
      <c r="H777" s="105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  <c r="AA777" s="104"/>
      <c r="AB777" s="104"/>
      <c r="AC777" s="104"/>
    </row>
    <row r="778">
      <c r="A778" s="104"/>
      <c r="B778" s="104"/>
      <c r="C778" s="104"/>
      <c r="D778" s="104"/>
      <c r="E778" s="104"/>
      <c r="F778" s="104"/>
      <c r="G778" s="104"/>
      <c r="H778" s="105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  <c r="AA778" s="104"/>
      <c r="AB778" s="104"/>
      <c r="AC778" s="104"/>
    </row>
    <row r="779">
      <c r="A779" s="104"/>
      <c r="B779" s="104"/>
      <c r="C779" s="104"/>
      <c r="D779" s="104"/>
      <c r="E779" s="104"/>
      <c r="F779" s="104"/>
      <c r="G779" s="104"/>
      <c r="H779" s="105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  <c r="AA779" s="104"/>
      <c r="AB779" s="104"/>
      <c r="AC779" s="104"/>
    </row>
    <row r="780">
      <c r="A780" s="104"/>
      <c r="B780" s="104"/>
      <c r="C780" s="104"/>
      <c r="D780" s="104"/>
      <c r="E780" s="104"/>
      <c r="F780" s="104"/>
      <c r="G780" s="104"/>
      <c r="H780" s="105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  <c r="AA780" s="104"/>
      <c r="AB780" s="104"/>
      <c r="AC780" s="104"/>
    </row>
    <row r="781">
      <c r="A781" s="104"/>
      <c r="B781" s="104"/>
      <c r="C781" s="104"/>
      <c r="D781" s="104"/>
      <c r="E781" s="104"/>
      <c r="F781" s="104"/>
      <c r="G781" s="104"/>
      <c r="H781" s="105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  <c r="AA781" s="104"/>
      <c r="AB781" s="104"/>
      <c r="AC781" s="104"/>
    </row>
    <row r="782">
      <c r="A782" s="104"/>
      <c r="B782" s="104"/>
      <c r="C782" s="104"/>
      <c r="D782" s="104"/>
      <c r="E782" s="104"/>
      <c r="F782" s="104"/>
      <c r="G782" s="104"/>
      <c r="H782" s="105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  <c r="AA782" s="104"/>
      <c r="AB782" s="104"/>
      <c r="AC782" s="104"/>
    </row>
    <row r="783">
      <c r="A783" s="104"/>
      <c r="B783" s="104"/>
      <c r="C783" s="104"/>
      <c r="D783" s="104"/>
      <c r="E783" s="104"/>
      <c r="F783" s="104"/>
      <c r="G783" s="104"/>
      <c r="H783" s="105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  <c r="AA783" s="104"/>
      <c r="AB783" s="104"/>
      <c r="AC783" s="104"/>
    </row>
    <row r="784">
      <c r="A784" s="104"/>
      <c r="B784" s="104"/>
      <c r="C784" s="104"/>
      <c r="D784" s="104"/>
      <c r="E784" s="104"/>
      <c r="F784" s="104"/>
      <c r="G784" s="104"/>
      <c r="H784" s="105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  <c r="AA784" s="104"/>
      <c r="AB784" s="104"/>
      <c r="AC784" s="104"/>
    </row>
    <row r="785">
      <c r="A785" s="104"/>
      <c r="B785" s="104"/>
      <c r="C785" s="104"/>
      <c r="D785" s="104"/>
      <c r="E785" s="104"/>
      <c r="F785" s="104"/>
      <c r="G785" s="104"/>
      <c r="H785" s="105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  <c r="AA785" s="104"/>
      <c r="AB785" s="104"/>
      <c r="AC785" s="104"/>
    </row>
    <row r="786">
      <c r="A786" s="104"/>
      <c r="B786" s="104"/>
      <c r="C786" s="104"/>
      <c r="D786" s="104"/>
      <c r="E786" s="104"/>
      <c r="F786" s="104"/>
      <c r="G786" s="104"/>
      <c r="H786" s="105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  <c r="AA786" s="104"/>
      <c r="AB786" s="104"/>
      <c r="AC786" s="104"/>
    </row>
    <row r="787">
      <c r="A787" s="104"/>
      <c r="B787" s="104"/>
      <c r="C787" s="104"/>
      <c r="D787" s="104"/>
      <c r="E787" s="104"/>
      <c r="F787" s="104"/>
      <c r="G787" s="104"/>
      <c r="H787" s="105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  <c r="AA787" s="104"/>
      <c r="AB787" s="104"/>
      <c r="AC787" s="104"/>
    </row>
    <row r="788">
      <c r="A788" s="104"/>
      <c r="B788" s="104"/>
      <c r="C788" s="104"/>
      <c r="D788" s="104"/>
      <c r="E788" s="104"/>
      <c r="F788" s="104"/>
      <c r="G788" s="104"/>
      <c r="H788" s="105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  <c r="AA788" s="104"/>
      <c r="AB788" s="104"/>
      <c r="AC788" s="104"/>
    </row>
    <row r="789">
      <c r="A789" s="104"/>
      <c r="B789" s="104"/>
      <c r="C789" s="104"/>
      <c r="D789" s="104"/>
      <c r="E789" s="104"/>
      <c r="F789" s="104"/>
      <c r="G789" s="104"/>
      <c r="H789" s="105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  <c r="AA789" s="104"/>
      <c r="AB789" s="104"/>
      <c r="AC789" s="104"/>
    </row>
    <row r="790">
      <c r="A790" s="104"/>
      <c r="B790" s="104"/>
      <c r="C790" s="104"/>
      <c r="D790" s="104"/>
      <c r="E790" s="104"/>
      <c r="F790" s="104"/>
      <c r="G790" s="104"/>
      <c r="H790" s="105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  <c r="AA790" s="104"/>
      <c r="AB790" s="104"/>
      <c r="AC790" s="104"/>
    </row>
    <row r="791">
      <c r="A791" s="104"/>
      <c r="B791" s="104"/>
      <c r="C791" s="104"/>
      <c r="D791" s="104"/>
      <c r="E791" s="104"/>
      <c r="F791" s="104"/>
      <c r="G791" s="104"/>
      <c r="H791" s="105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  <c r="AA791" s="104"/>
      <c r="AB791" s="104"/>
      <c r="AC791" s="104"/>
    </row>
    <row r="792">
      <c r="A792" s="104"/>
      <c r="B792" s="104"/>
      <c r="C792" s="104"/>
      <c r="D792" s="104"/>
      <c r="E792" s="104"/>
      <c r="F792" s="104"/>
      <c r="G792" s="104"/>
      <c r="H792" s="105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  <c r="AA792" s="104"/>
      <c r="AB792" s="104"/>
      <c r="AC792" s="104"/>
    </row>
    <row r="793">
      <c r="A793" s="104"/>
      <c r="B793" s="104"/>
      <c r="C793" s="104"/>
      <c r="D793" s="104"/>
      <c r="E793" s="104"/>
      <c r="F793" s="104"/>
      <c r="G793" s="104"/>
      <c r="H793" s="105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  <c r="AA793" s="104"/>
      <c r="AB793" s="104"/>
      <c r="AC793" s="104"/>
    </row>
    <row r="794">
      <c r="A794" s="104"/>
      <c r="B794" s="104"/>
      <c r="C794" s="104"/>
      <c r="D794" s="104"/>
      <c r="E794" s="104"/>
      <c r="F794" s="104"/>
      <c r="G794" s="104"/>
      <c r="H794" s="105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  <c r="AA794" s="104"/>
      <c r="AB794" s="104"/>
      <c r="AC794" s="104"/>
    </row>
    <row r="795">
      <c r="A795" s="104"/>
      <c r="B795" s="104"/>
      <c r="C795" s="104"/>
      <c r="D795" s="104"/>
      <c r="E795" s="104"/>
      <c r="F795" s="104"/>
      <c r="G795" s="104"/>
      <c r="H795" s="105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  <c r="AA795" s="104"/>
      <c r="AB795" s="104"/>
      <c r="AC795" s="104"/>
    </row>
    <row r="796">
      <c r="A796" s="104"/>
      <c r="B796" s="104"/>
      <c r="C796" s="104"/>
      <c r="D796" s="104"/>
      <c r="E796" s="104"/>
      <c r="F796" s="104"/>
      <c r="G796" s="104"/>
      <c r="H796" s="105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  <c r="AA796" s="104"/>
      <c r="AB796" s="104"/>
      <c r="AC796" s="104"/>
    </row>
    <row r="797">
      <c r="A797" s="104"/>
      <c r="B797" s="104"/>
      <c r="C797" s="104"/>
      <c r="D797" s="104"/>
      <c r="E797" s="104"/>
      <c r="F797" s="104"/>
      <c r="G797" s="104"/>
      <c r="H797" s="105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  <c r="AA797" s="104"/>
      <c r="AB797" s="104"/>
      <c r="AC797" s="104"/>
    </row>
    <row r="798">
      <c r="A798" s="104"/>
      <c r="B798" s="104"/>
      <c r="C798" s="104"/>
      <c r="D798" s="104"/>
      <c r="E798" s="104"/>
      <c r="F798" s="104"/>
      <c r="G798" s="104"/>
      <c r="H798" s="105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  <c r="AA798" s="104"/>
      <c r="AB798" s="104"/>
      <c r="AC798" s="104"/>
    </row>
    <row r="799">
      <c r="A799" s="104"/>
      <c r="B799" s="104"/>
      <c r="C799" s="104"/>
      <c r="D799" s="104"/>
      <c r="E799" s="104"/>
      <c r="F799" s="104"/>
      <c r="G799" s="104"/>
      <c r="H799" s="105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B799" s="104"/>
      <c r="AC799" s="104"/>
    </row>
    <row r="800">
      <c r="A800" s="104"/>
      <c r="B800" s="104"/>
      <c r="C800" s="104"/>
      <c r="D800" s="104"/>
      <c r="E800" s="104"/>
      <c r="F800" s="104"/>
      <c r="G800" s="104"/>
      <c r="H800" s="105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  <c r="AA800" s="104"/>
      <c r="AB800" s="104"/>
      <c r="AC800" s="104"/>
    </row>
    <row r="801">
      <c r="A801" s="104"/>
      <c r="B801" s="104"/>
      <c r="C801" s="104"/>
      <c r="D801" s="104"/>
      <c r="E801" s="104"/>
      <c r="F801" s="104"/>
      <c r="G801" s="104"/>
      <c r="H801" s="105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  <c r="AA801" s="104"/>
      <c r="AB801" s="104"/>
      <c r="AC801" s="104"/>
    </row>
    <row r="802">
      <c r="A802" s="104"/>
      <c r="B802" s="104"/>
      <c r="C802" s="104"/>
      <c r="D802" s="104"/>
      <c r="E802" s="104"/>
      <c r="F802" s="104"/>
      <c r="G802" s="104"/>
      <c r="H802" s="105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  <c r="AA802" s="104"/>
      <c r="AB802" s="104"/>
      <c r="AC802" s="104"/>
    </row>
    <row r="803">
      <c r="A803" s="104"/>
      <c r="B803" s="104"/>
      <c r="C803" s="104"/>
      <c r="D803" s="104"/>
      <c r="E803" s="104"/>
      <c r="F803" s="104"/>
      <c r="G803" s="104"/>
      <c r="H803" s="105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  <c r="AA803" s="104"/>
      <c r="AB803" s="104"/>
      <c r="AC803" s="104"/>
    </row>
    <row r="804">
      <c r="A804" s="104"/>
      <c r="B804" s="104"/>
      <c r="C804" s="104"/>
      <c r="D804" s="104"/>
      <c r="E804" s="104"/>
      <c r="F804" s="104"/>
      <c r="G804" s="104"/>
      <c r="H804" s="105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  <c r="AA804" s="104"/>
      <c r="AB804" s="104"/>
      <c r="AC804" s="104"/>
    </row>
    <row r="805">
      <c r="A805" s="104"/>
      <c r="B805" s="104"/>
      <c r="C805" s="104"/>
      <c r="D805" s="104"/>
      <c r="E805" s="104"/>
      <c r="F805" s="104"/>
      <c r="G805" s="104"/>
      <c r="H805" s="105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  <c r="AA805" s="104"/>
      <c r="AB805" s="104"/>
      <c r="AC805" s="104"/>
    </row>
    <row r="806">
      <c r="A806" s="104"/>
      <c r="B806" s="104"/>
      <c r="C806" s="104"/>
      <c r="D806" s="104"/>
      <c r="E806" s="104"/>
      <c r="F806" s="104"/>
      <c r="G806" s="104"/>
      <c r="H806" s="105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  <c r="AA806" s="104"/>
      <c r="AB806" s="104"/>
      <c r="AC806" s="104"/>
    </row>
    <row r="807">
      <c r="A807" s="104"/>
      <c r="B807" s="104"/>
      <c r="C807" s="104"/>
      <c r="D807" s="104"/>
      <c r="E807" s="104"/>
      <c r="F807" s="104"/>
      <c r="G807" s="104"/>
      <c r="H807" s="105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  <c r="AA807" s="104"/>
      <c r="AB807" s="104"/>
      <c r="AC807" s="104"/>
    </row>
    <row r="808">
      <c r="A808" s="104"/>
      <c r="B808" s="104"/>
      <c r="C808" s="104"/>
      <c r="D808" s="104"/>
      <c r="E808" s="104"/>
      <c r="F808" s="104"/>
      <c r="G808" s="104"/>
      <c r="H808" s="105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  <c r="AA808" s="104"/>
      <c r="AB808" s="104"/>
      <c r="AC808" s="104"/>
    </row>
    <row r="809">
      <c r="A809" s="104"/>
      <c r="B809" s="104"/>
      <c r="C809" s="104"/>
      <c r="D809" s="104"/>
      <c r="E809" s="104"/>
      <c r="F809" s="104"/>
      <c r="G809" s="104"/>
      <c r="H809" s="105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  <c r="AA809" s="104"/>
      <c r="AB809" s="104"/>
      <c r="AC809" s="104"/>
    </row>
    <row r="810">
      <c r="A810" s="104"/>
      <c r="B810" s="104"/>
      <c r="C810" s="104"/>
      <c r="D810" s="104"/>
      <c r="E810" s="104"/>
      <c r="F810" s="104"/>
      <c r="G810" s="104"/>
      <c r="H810" s="105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  <c r="AA810" s="104"/>
      <c r="AB810" s="104"/>
      <c r="AC810" s="104"/>
    </row>
    <row r="811">
      <c r="A811" s="104"/>
      <c r="B811" s="104"/>
      <c r="C811" s="104"/>
      <c r="D811" s="104"/>
      <c r="E811" s="104"/>
      <c r="F811" s="104"/>
      <c r="G811" s="104"/>
      <c r="H811" s="105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  <c r="AA811" s="104"/>
      <c r="AB811" s="104"/>
      <c r="AC811" s="104"/>
    </row>
    <row r="812">
      <c r="A812" s="104"/>
      <c r="B812" s="104"/>
      <c r="C812" s="104"/>
      <c r="D812" s="104"/>
      <c r="E812" s="104"/>
      <c r="F812" s="104"/>
      <c r="G812" s="104"/>
      <c r="H812" s="105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  <c r="AA812" s="104"/>
      <c r="AB812" s="104"/>
      <c r="AC812" s="104"/>
    </row>
    <row r="813">
      <c r="A813" s="104"/>
      <c r="B813" s="104"/>
      <c r="C813" s="104"/>
      <c r="D813" s="104"/>
      <c r="E813" s="104"/>
      <c r="F813" s="104"/>
      <c r="G813" s="104"/>
      <c r="H813" s="105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  <c r="AA813" s="104"/>
      <c r="AB813" s="104"/>
      <c r="AC813" s="104"/>
    </row>
    <row r="814">
      <c r="A814" s="104"/>
      <c r="B814" s="104"/>
      <c r="C814" s="104"/>
      <c r="D814" s="104"/>
      <c r="E814" s="104"/>
      <c r="F814" s="104"/>
      <c r="G814" s="104"/>
      <c r="H814" s="105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  <c r="AA814" s="104"/>
      <c r="AB814" s="104"/>
      <c r="AC814" s="104"/>
    </row>
    <row r="815">
      <c r="A815" s="104"/>
      <c r="B815" s="104"/>
      <c r="C815" s="104"/>
      <c r="D815" s="104"/>
      <c r="E815" s="104"/>
      <c r="F815" s="104"/>
      <c r="G815" s="104"/>
      <c r="H815" s="105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  <c r="AA815" s="104"/>
      <c r="AB815" s="104"/>
      <c r="AC815" s="104"/>
    </row>
    <row r="816">
      <c r="A816" s="104"/>
      <c r="B816" s="104"/>
      <c r="C816" s="104"/>
      <c r="D816" s="104"/>
      <c r="E816" s="104"/>
      <c r="F816" s="104"/>
      <c r="G816" s="104"/>
      <c r="H816" s="105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  <c r="AA816" s="104"/>
      <c r="AB816" s="104"/>
      <c r="AC816" s="104"/>
    </row>
    <row r="817">
      <c r="A817" s="104"/>
      <c r="B817" s="104"/>
      <c r="C817" s="104"/>
      <c r="D817" s="104"/>
      <c r="E817" s="104"/>
      <c r="F817" s="104"/>
      <c r="G817" s="104"/>
      <c r="H817" s="105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  <c r="AA817" s="104"/>
      <c r="AB817" s="104"/>
      <c r="AC817" s="104"/>
    </row>
    <row r="818">
      <c r="A818" s="104"/>
      <c r="B818" s="104"/>
      <c r="C818" s="104"/>
      <c r="D818" s="104"/>
      <c r="E818" s="104"/>
      <c r="F818" s="104"/>
      <c r="G818" s="104"/>
      <c r="H818" s="105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  <c r="AA818" s="104"/>
      <c r="AB818" s="104"/>
      <c r="AC818" s="104"/>
    </row>
    <row r="819">
      <c r="A819" s="104"/>
      <c r="B819" s="104"/>
      <c r="C819" s="104"/>
      <c r="D819" s="104"/>
      <c r="E819" s="104"/>
      <c r="F819" s="104"/>
      <c r="G819" s="104"/>
      <c r="H819" s="105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  <c r="AA819" s="104"/>
      <c r="AB819" s="104"/>
      <c r="AC819" s="104"/>
    </row>
    <row r="820">
      <c r="A820" s="104"/>
      <c r="B820" s="104"/>
      <c r="C820" s="104"/>
      <c r="D820" s="104"/>
      <c r="E820" s="104"/>
      <c r="F820" s="104"/>
      <c r="G820" s="104"/>
      <c r="H820" s="105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  <c r="AA820" s="104"/>
      <c r="AB820" s="104"/>
      <c r="AC820" s="104"/>
    </row>
    <row r="821">
      <c r="A821" s="104"/>
      <c r="B821" s="104"/>
      <c r="C821" s="104"/>
      <c r="D821" s="104"/>
      <c r="E821" s="104"/>
      <c r="F821" s="104"/>
      <c r="G821" s="104"/>
      <c r="H821" s="105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  <c r="AA821" s="104"/>
      <c r="AB821" s="104"/>
      <c r="AC821" s="104"/>
    </row>
    <row r="822">
      <c r="A822" s="104"/>
      <c r="B822" s="104"/>
      <c r="C822" s="104"/>
      <c r="D822" s="104"/>
      <c r="E822" s="104"/>
      <c r="F822" s="104"/>
      <c r="G822" s="104"/>
      <c r="H822" s="105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  <c r="AA822" s="104"/>
      <c r="AB822" s="104"/>
      <c r="AC822" s="104"/>
    </row>
    <row r="823">
      <c r="A823" s="104"/>
      <c r="B823" s="104"/>
      <c r="C823" s="104"/>
      <c r="D823" s="104"/>
      <c r="E823" s="104"/>
      <c r="F823" s="104"/>
      <c r="G823" s="104"/>
      <c r="H823" s="105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  <c r="AA823" s="104"/>
      <c r="AB823" s="104"/>
      <c r="AC823" s="104"/>
    </row>
    <row r="824">
      <c r="A824" s="104"/>
      <c r="B824" s="104"/>
      <c r="C824" s="104"/>
      <c r="D824" s="104"/>
      <c r="E824" s="104"/>
      <c r="F824" s="104"/>
      <c r="G824" s="104"/>
      <c r="H824" s="105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</row>
    <row r="825">
      <c r="A825" s="104"/>
      <c r="B825" s="104"/>
      <c r="C825" s="104"/>
      <c r="D825" s="104"/>
      <c r="E825" s="104"/>
      <c r="F825" s="104"/>
      <c r="G825" s="104"/>
      <c r="H825" s="105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  <c r="AA825" s="104"/>
      <c r="AB825" s="104"/>
      <c r="AC825" s="104"/>
    </row>
    <row r="826">
      <c r="A826" s="104"/>
      <c r="B826" s="104"/>
      <c r="C826" s="104"/>
      <c r="D826" s="104"/>
      <c r="E826" s="104"/>
      <c r="F826" s="104"/>
      <c r="G826" s="104"/>
      <c r="H826" s="105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  <c r="AA826" s="104"/>
      <c r="AB826" s="104"/>
      <c r="AC826" s="104"/>
    </row>
    <row r="827">
      <c r="A827" s="104"/>
      <c r="B827" s="104"/>
      <c r="C827" s="104"/>
      <c r="D827" s="104"/>
      <c r="E827" s="104"/>
      <c r="F827" s="104"/>
      <c r="G827" s="104"/>
      <c r="H827" s="105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  <c r="AA827" s="104"/>
      <c r="AB827" s="104"/>
      <c r="AC827" s="104"/>
    </row>
    <row r="828">
      <c r="A828" s="104"/>
      <c r="B828" s="104"/>
      <c r="C828" s="104"/>
      <c r="D828" s="104"/>
      <c r="E828" s="104"/>
      <c r="F828" s="104"/>
      <c r="G828" s="104"/>
      <c r="H828" s="105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  <c r="AA828" s="104"/>
      <c r="AB828" s="104"/>
      <c r="AC828" s="104"/>
    </row>
    <row r="829">
      <c r="A829" s="104"/>
      <c r="B829" s="104"/>
      <c r="C829" s="104"/>
      <c r="D829" s="104"/>
      <c r="E829" s="104"/>
      <c r="F829" s="104"/>
      <c r="G829" s="104"/>
      <c r="H829" s="105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  <c r="AA829" s="104"/>
      <c r="AB829" s="104"/>
      <c r="AC829" s="104"/>
    </row>
    <row r="830">
      <c r="A830" s="104"/>
      <c r="B830" s="104"/>
      <c r="C830" s="104"/>
      <c r="D830" s="104"/>
      <c r="E830" s="104"/>
      <c r="F830" s="104"/>
      <c r="G830" s="104"/>
      <c r="H830" s="105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  <c r="AA830" s="104"/>
      <c r="AB830" s="104"/>
      <c r="AC830" s="104"/>
    </row>
    <row r="831">
      <c r="A831" s="104"/>
      <c r="B831" s="104"/>
      <c r="C831" s="104"/>
      <c r="D831" s="104"/>
      <c r="E831" s="104"/>
      <c r="F831" s="104"/>
      <c r="G831" s="104"/>
      <c r="H831" s="105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  <c r="AA831" s="104"/>
      <c r="AB831" s="104"/>
      <c r="AC831" s="104"/>
    </row>
    <row r="832">
      <c r="A832" s="104"/>
      <c r="B832" s="104"/>
      <c r="C832" s="104"/>
      <c r="D832" s="104"/>
      <c r="E832" s="104"/>
      <c r="F832" s="104"/>
      <c r="G832" s="104"/>
      <c r="H832" s="105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  <c r="AA832" s="104"/>
      <c r="AB832" s="104"/>
      <c r="AC832" s="104"/>
    </row>
    <row r="833">
      <c r="A833" s="104"/>
      <c r="B833" s="104"/>
      <c r="C833" s="104"/>
      <c r="D833" s="104"/>
      <c r="E833" s="104"/>
      <c r="F833" s="104"/>
      <c r="G833" s="104"/>
      <c r="H833" s="105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  <c r="AA833" s="104"/>
      <c r="AB833" s="104"/>
      <c r="AC833" s="104"/>
    </row>
    <row r="834">
      <c r="A834" s="104"/>
      <c r="B834" s="104"/>
      <c r="C834" s="104"/>
      <c r="D834" s="104"/>
      <c r="E834" s="104"/>
      <c r="F834" s="104"/>
      <c r="G834" s="104"/>
      <c r="H834" s="105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  <c r="AA834" s="104"/>
      <c r="AB834" s="104"/>
      <c r="AC834" s="104"/>
    </row>
    <row r="835">
      <c r="A835" s="104"/>
      <c r="B835" s="104"/>
      <c r="C835" s="104"/>
      <c r="D835" s="104"/>
      <c r="E835" s="104"/>
      <c r="F835" s="104"/>
      <c r="G835" s="104"/>
      <c r="H835" s="105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  <c r="AA835" s="104"/>
      <c r="AB835" s="104"/>
      <c r="AC835" s="104"/>
    </row>
    <row r="836">
      <c r="A836" s="104"/>
      <c r="B836" s="104"/>
      <c r="C836" s="104"/>
      <c r="D836" s="104"/>
      <c r="E836" s="104"/>
      <c r="F836" s="104"/>
      <c r="G836" s="104"/>
      <c r="H836" s="105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  <c r="AA836" s="104"/>
      <c r="AB836" s="104"/>
      <c r="AC836" s="104"/>
    </row>
    <row r="837">
      <c r="A837" s="104"/>
      <c r="B837" s="104"/>
      <c r="C837" s="104"/>
      <c r="D837" s="104"/>
      <c r="E837" s="104"/>
      <c r="F837" s="104"/>
      <c r="G837" s="104"/>
      <c r="H837" s="105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  <c r="AA837" s="104"/>
      <c r="AB837" s="104"/>
      <c r="AC837" s="104"/>
    </row>
    <row r="838">
      <c r="A838" s="104"/>
      <c r="B838" s="104"/>
      <c r="C838" s="104"/>
      <c r="D838" s="104"/>
      <c r="E838" s="104"/>
      <c r="F838" s="104"/>
      <c r="G838" s="104"/>
      <c r="H838" s="105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  <c r="AA838" s="104"/>
      <c r="AB838" s="104"/>
      <c r="AC838" s="104"/>
    </row>
    <row r="839">
      <c r="A839" s="104"/>
      <c r="B839" s="104"/>
      <c r="C839" s="104"/>
      <c r="D839" s="104"/>
      <c r="E839" s="104"/>
      <c r="F839" s="104"/>
      <c r="G839" s="104"/>
      <c r="H839" s="105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  <c r="AA839" s="104"/>
      <c r="AB839" s="104"/>
      <c r="AC839" s="104"/>
    </row>
    <row r="840">
      <c r="A840" s="104"/>
      <c r="B840" s="104"/>
      <c r="C840" s="104"/>
      <c r="D840" s="104"/>
      <c r="E840" s="104"/>
      <c r="F840" s="104"/>
      <c r="G840" s="104"/>
      <c r="H840" s="105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  <c r="AA840" s="104"/>
      <c r="AB840" s="104"/>
      <c r="AC840" s="104"/>
    </row>
    <row r="841">
      <c r="A841" s="104"/>
      <c r="B841" s="104"/>
      <c r="C841" s="104"/>
      <c r="D841" s="104"/>
      <c r="E841" s="104"/>
      <c r="F841" s="104"/>
      <c r="G841" s="104"/>
      <c r="H841" s="105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  <c r="AA841" s="104"/>
      <c r="AB841" s="104"/>
      <c r="AC841" s="104"/>
    </row>
    <row r="842">
      <c r="A842" s="104"/>
      <c r="B842" s="104"/>
      <c r="C842" s="104"/>
      <c r="D842" s="104"/>
      <c r="E842" s="104"/>
      <c r="F842" s="104"/>
      <c r="G842" s="104"/>
      <c r="H842" s="105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  <c r="AA842" s="104"/>
      <c r="AB842" s="104"/>
      <c r="AC842" s="104"/>
    </row>
    <row r="843">
      <c r="A843" s="104"/>
      <c r="B843" s="104"/>
      <c r="C843" s="104"/>
      <c r="D843" s="104"/>
      <c r="E843" s="104"/>
      <c r="F843" s="104"/>
      <c r="G843" s="104"/>
      <c r="H843" s="105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  <c r="AA843" s="104"/>
      <c r="AB843" s="104"/>
      <c r="AC843" s="104"/>
    </row>
    <row r="844">
      <c r="A844" s="104"/>
      <c r="B844" s="104"/>
      <c r="C844" s="104"/>
      <c r="D844" s="104"/>
      <c r="E844" s="104"/>
      <c r="F844" s="104"/>
      <c r="G844" s="104"/>
      <c r="H844" s="105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  <c r="AA844" s="104"/>
      <c r="AB844" s="104"/>
      <c r="AC844" s="104"/>
    </row>
    <row r="845">
      <c r="A845" s="104"/>
      <c r="B845" s="104"/>
      <c r="C845" s="104"/>
      <c r="D845" s="104"/>
      <c r="E845" s="104"/>
      <c r="F845" s="104"/>
      <c r="G845" s="104"/>
      <c r="H845" s="105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  <c r="AA845" s="104"/>
      <c r="AB845" s="104"/>
      <c r="AC845" s="104"/>
    </row>
    <row r="846">
      <c r="A846" s="104"/>
      <c r="B846" s="104"/>
      <c r="C846" s="104"/>
      <c r="D846" s="104"/>
      <c r="E846" s="104"/>
      <c r="F846" s="104"/>
      <c r="G846" s="104"/>
      <c r="H846" s="105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  <c r="AA846" s="104"/>
      <c r="AB846" s="104"/>
      <c r="AC846" s="104"/>
    </row>
    <row r="847">
      <c r="A847" s="104"/>
      <c r="B847" s="104"/>
      <c r="C847" s="104"/>
      <c r="D847" s="104"/>
      <c r="E847" s="104"/>
      <c r="F847" s="104"/>
      <c r="G847" s="104"/>
      <c r="H847" s="105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  <c r="AA847" s="104"/>
      <c r="AB847" s="104"/>
      <c r="AC847" s="104"/>
    </row>
    <row r="848">
      <c r="A848" s="104"/>
      <c r="B848" s="104"/>
      <c r="C848" s="104"/>
      <c r="D848" s="104"/>
      <c r="E848" s="104"/>
      <c r="F848" s="104"/>
      <c r="G848" s="104"/>
      <c r="H848" s="105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  <c r="AA848" s="104"/>
      <c r="AB848" s="104"/>
      <c r="AC848" s="104"/>
    </row>
    <row r="849">
      <c r="A849" s="104"/>
      <c r="B849" s="104"/>
      <c r="C849" s="104"/>
      <c r="D849" s="104"/>
      <c r="E849" s="104"/>
      <c r="F849" s="104"/>
      <c r="G849" s="104"/>
      <c r="H849" s="105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  <c r="AA849" s="104"/>
      <c r="AB849" s="104"/>
      <c r="AC849" s="104"/>
    </row>
    <row r="850">
      <c r="A850" s="104"/>
      <c r="B850" s="104"/>
      <c r="C850" s="104"/>
      <c r="D850" s="104"/>
      <c r="E850" s="104"/>
      <c r="F850" s="104"/>
      <c r="G850" s="104"/>
      <c r="H850" s="105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  <c r="AA850" s="104"/>
      <c r="AB850" s="104"/>
      <c r="AC850" s="104"/>
    </row>
    <row r="851">
      <c r="A851" s="104"/>
      <c r="B851" s="104"/>
      <c r="C851" s="104"/>
      <c r="D851" s="104"/>
      <c r="E851" s="104"/>
      <c r="F851" s="104"/>
      <c r="G851" s="104"/>
      <c r="H851" s="105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  <c r="AA851" s="104"/>
      <c r="AB851" s="104"/>
      <c r="AC851" s="104"/>
    </row>
    <row r="852">
      <c r="A852" s="104"/>
      <c r="B852" s="104"/>
      <c r="C852" s="104"/>
      <c r="D852" s="104"/>
      <c r="E852" s="104"/>
      <c r="F852" s="104"/>
      <c r="G852" s="104"/>
      <c r="H852" s="105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  <c r="AA852" s="104"/>
      <c r="AB852" s="104"/>
      <c r="AC852" s="104"/>
    </row>
    <row r="853">
      <c r="A853" s="104"/>
      <c r="B853" s="104"/>
      <c r="C853" s="104"/>
      <c r="D853" s="104"/>
      <c r="E853" s="104"/>
      <c r="F853" s="104"/>
      <c r="G853" s="104"/>
      <c r="H853" s="105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  <c r="AA853" s="104"/>
      <c r="AB853" s="104"/>
      <c r="AC853" s="104"/>
    </row>
    <row r="854">
      <c r="A854" s="104"/>
      <c r="B854" s="104"/>
      <c r="C854" s="104"/>
      <c r="D854" s="104"/>
      <c r="E854" s="104"/>
      <c r="F854" s="104"/>
      <c r="G854" s="104"/>
      <c r="H854" s="105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  <c r="AA854" s="104"/>
      <c r="AB854" s="104"/>
      <c r="AC854" s="104"/>
    </row>
    <row r="855">
      <c r="A855" s="104"/>
      <c r="B855" s="104"/>
      <c r="C855" s="104"/>
      <c r="D855" s="104"/>
      <c r="E855" s="104"/>
      <c r="F855" s="104"/>
      <c r="G855" s="104"/>
      <c r="H855" s="105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  <c r="AA855" s="104"/>
      <c r="AB855" s="104"/>
      <c r="AC855" s="104"/>
    </row>
    <row r="856">
      <c r="A856" s="104"/>
      <c r="B856" s="104"/>
      <c r="C856" s="104"/>
      <c r="D856" s="104"/>
      <c r="E856" s="104"/>
      <c r="F856" s="104"/>
      <c r="G856" s="104"/>
      <c r="H856" s="105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  <c r="AA856" s="104"/>
      <c r="AB856" s="104"/>
      <c r="AC856" s="104"/>
    </row>
    <row r="857">
      <c r="A857" s="104"/>
      <c r="B857" s="104"/>
      <c r="C857" s="104"/>
      <c r="D857" s="104"/>
      <c r="E857" s="104"/>
      <c r="F857" s="104"/>
      <c r="G857" s="104"/>
      <c r="H857" s="105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  <c r="AA857" s="104"/>
      <c r="AB857" s="104"/>
      <c r="AC857" s="104"/>
    </row>
    <row r="858">
      <c r="A858" s="104"/>
      <c r="B858" s="104"/>
      <c r="C858" s="104"/>
      <c r="D858" s="104"/>
      <c r="E858" s="104"/>
      <c r="F858" s="104"/>
      <c r="G858" s="104"/>
      <c r="H858" s="105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  <c r="AA858" s="104"/>
      <c r="AB858" s="104"/>
      <c r="AC858" s="104"/>
    </row>
    <row r="859">
      <c r="A859" s="104"/>
      <c r="B859" s="104"/>
      <c r="C859" s="104"/>
      <c r="D859" s="104"/>
      <c r="E859" s="104"/>
      <c r="F859" s="104"/>
      <c r="G859" s="104"/>
      <c r="H859" s="105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  <c r="AA859" s="104"/>
      <c r="AB859" s="104"/>
      <c r="AC859" s="104"/>
    </row>
    <row r="860">
      <c r="A860" s="104"/>
      <c r="B860" s="104"/>
      <c r="C860" s="104"/>
      <c r="D860" s="104"/>
      <c r="E860" s="104"/>
      <c r="F860" s="104"/>
      <c r="G860" s="104"/>
      <c r="H860" s="105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  <c r="AA860" s="104"/>
      <c r="AB860" s="104"/>
      <c r="AC860" s="104"/>
    </row>
    <row r="861">
      <c r="A861" s="104"/>
      <c r="B861" s="104"/>
      <c r="C861" s="104"/>
      <c r="D861" s="104"/>
      <c r="E861" s="104"/>
      <c r="F861" s="104"/>
      <c r="G861" s="104"/>
      <c r="H861" s="105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  <c r="AA861" s="104"/>
      <c r="AB861" s="104"/>
      <c r="AC861" s="104"/>
    </row>
    <row r="862">
      <c r="A862" s="104"/>
      <c r="B862" s="104"/>
      <c r="C862" s="104"/>
      <c r="D862" s="104"/>
      <c r="E862" s="104"/>
      <c r="F862" s="104"/>
      <c r="G862" s="104"/>
      <c r="H862" s="105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  <c r="AA862" s="104"/>
      <c r="AB862" s="104"/>
      <c r="AC862" s="104"/>
    </row>
    <row r="863">
      <c r="A863" s="104"/>
      <c r="B863" s="104"/>
      <c r="C863" s="104"/>
      <c r="D863" s="104"/>
      <c r="E863" s="104"/>
      <c r="F863" s="104"/>
      <c r="G863" s="104"/>
      <c r="H863" s="105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  <c r="AA863" s="104"/>
      <c r="AB863" s="104"/>
      <c r="AC863" s="104"/>
    </row>
    <row r="864">
      <c r="A864" s="104"/>
      <c r="B864" s="104"/>
      <c r="C864" s="104"/>
      <c r="D864" s="104"/>
      <c r="E864" s="104"/>
      <c r="F864" s="104"/>
      <c r="G864" s="104"/>
      <c r="H864" s="105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  <c r="AA864" s="104"/>
      <c r="AB864" s="104"/>
      <c r="AC864" s="104"/>
    </row>
    <row r="865">
      <c r="A865" s="104"/>
      <c r="B865" s="104"/>
      <c r="C865" s="104"/>
      <c r="D865" s="104"/>
      <c r="E865" s="104"/>
      <c r="F865" s="104"/>
      <c r="G865" s="104"/>
      <c r="H865" s="105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  <c r="AA865" s="104"/>
      <c r="AB865" s="104"/>
      <c r="AC865" s="104"/>
    </row>
    <row r="866">
      <c r="A866" s="104"/>
      <c r="B866" s="104"/>
      <c r="C866" s="104"/>
      <c r="D866" s="104"/>
      <c r="E866" s="104"/>
      <c r="F866" s="104"/>
      <c r="G866" s="104"/>
      <c r="H866" s="105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  <c r="AA866" s="104"/>
      <c r="AB866" s="104"/>
      <c r="AC866" s="104"/>
    </row>
    <row r="867">
      <c r="A867" s="104"/>
      <c r="B867" s="104"/>
      <c r="C867" s="104"/>
      <c r="D867" s="104"/>
      <c r="E867" s="104"/>
      <c r="F867" s="104"/>
      <c r="G867" s="104"/>
      <c r="H867" s="105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  <c r="AA867" s="104"/>
      <c r="AB867" s="104"/>
      <c r="AC867" s="104"/>
    </row>
    <row r="868">
      <c r="A868" s="104"/>
      <c r="B868" s="104"/>
      <c r="C868" s="104"/>
      <c r="D868" s="104"/>
      <c r="E868" s="104"/>
      <c r="F868" s="104"/>
      <c r="G868" s="104"/>
      <c r="H868" s="105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  <c r="AA868" s="104"/>
      <c r="AB868" s="104"/>
      <c r="AC868" s="104"/>
    </row>
    <row r="869">
      <c r="A869" s="104"/>
      <c r="B869" s="104"/>
      <c r="C869" s="104"/>
      <c r="D869" s="104"/>
      <c r="E869" s="104"/>
      <c r="F869" s="104"/>
      <c r="G869" s="104"/>
      <c r="H869" s="105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  <c r="AA869" s="104"/>
      <c r="AB869" s="104"/>
      <c r="AC869" s="104"/>
    </row>
    <row r="870">
      <c r="A870" s="104"/>
      <c r="B870" s="104"/>
      <c r="C870" s="104"/>
      <c r="D870" s="104"/>
      <c r="E870" s="104"/>
      <c r="F870" s="104"/>
      <c r="G870" s="104"/>
      <c r="H870" s="105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  <c r="AA870" s="104"/>
      <c r="AB870" s="104"/>
      <c r="AC870" s="104"/>
    </row>
    <row r="871">
      <c r="A871" s="104"/>
      <c r="B871" s="104"/>
      <c r="C871" s="104"/>
      <c r="D871" s="104"/>
      <c r="E871" s="104"/>
      <c r="F871" s="104"/>
      <c r="G871" s="104"/>
      <c r="H871" s="105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  <c r="AA871" s="104"/>
      <c r="AB871" s="104"/>
      <c r="AC871" s="104"/>
    </row>
    <row r="872">
      <c r="A872" s="104"/>
      <c r="B872" s="104"/>
      <c r="C872" s="104"/>
      <c r="D872" s="104"/>
      <c r="E872" s="104"/>
      <c r="F872" s="104"/>
      <c r="G872" s="104"/>
      <c r="H872" s="105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  <c r="AA872" s="104"/>
      <c r="AB872" s="104"/>
      <c r="AC872" s="104"/>
    </row>
    <row r="873">
      <c r="A873" s="104"/>
      <c r="B873" s="104"/>
      <c r="C873" s="104"/>
      <c r="D873" s="104"/>
      <c r="E873" s="104"/>
      <c r="F873" s="104"/>
      <c r="G873" s="104"/>
      <c r="H873" s="105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  <c r="AA873" s="104"/>
      <c r="AB873" s="104"/>
      <c r="AC873" s="104"/>
    </row>
    <row r="874">
      <c r="A874" s="104"/>
      <c r="B874" s="104"/>
      <c r="C874" s="104"/>
      <c r="D874" s="104"/>
      <c r="E874" s="104"/>
      <c r="F874" s="104"/>
      <c r="G874" s="104"/>
      <c r="H874" s="105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  <c r="AA874" s="104"/>
      <c r="AB874" s="104"/>
      <c r="AC874" s="104"/>
    </row>
    <row r="875">
      <c r="A875" s="104"/>
      <c r="B875" s="104"/>
      <c r="C875" s="104"/>
      <c r="D875" s="104"/>
      <c r="E875" s="104"/>
      <c r="F875" s="104"/>
      <c r="G875" s="104"/>
      <c r="H875" s="105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  <c r="AA875" s="104"/>
      <c r="AB875" s="104"/>
      <c r="AC875" s="104"/>
    </row>
    <row r="876">
      <c r="A876" s="104"/>
      <c r="B876" s="104"/>
      <c r="C876" s="104"/>
      <c r="D876" s="104"/>
      <c r="E876" s="104"/>
      <c r="F876" s="104"/>
      <c r="G876" s="104"/>
      <c r="H876" s="105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  <c r="AA876" s="104"/>
      <c r="AB876" s="104"/>
      <c r="AC876" s="104"/>
    </row>
    <row r="877">
      <c r="A877" s="104"/>
      <c r="B877" s="104"/>
      <c r="C877" s="104"/>
      <c r="D877" s="104"/>
      <c r="E877" s="104"/>
      <c r="F877" s="104"/>
      <c r="G877" s="104"/>
      <c r="H877" s="105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  <c r="AA877" s="104"/>
      <c r="AB877" s="104"/>
      <c r="AC877" s="104"/>
    </row>
    <row r="878">
      <c r="A878" s="104"/>
      <c r="B878" s="104"/>
      <c r="C878" s="104"/>
      <c r="D878" s="104"/>
      <c r="E878" s="104"/>
      <c r="F878" s="104"/>
      <c r="G878" s="104"/>
      <c r="H878" s="105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  <c r="AA878" s="104"/>
      <c r="AB878" s="104"/>
      <c r="AC878" s="104"/>
    </row>
    <row r="879">
      <c r="A879" s="104"/>
      <c r="B879" s="104"/>
      <c r="C879" s="104"/>
      <c r="D879" s="104"/>
      <c r="E879" s="104"/>
      <c r="F879" s="104"/>
      <c r="G879" s="104"/>
      <c r="H879" s="105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  <c r="AA879" s="104"/>
      <c r="AB879" s="104"/>
      <c r="AC879" s="104"/>
    </row>
    <row r="880">
      <c r="A880" s="104"/>
      <c r="B880" s="104"/>
      <c r="C880" s="104"/>
      <c r="D880" s="104"/>
      <c r="E880" s="104"/>
      <c r="F880" s="104"/>
      <c r="G880" s="104"/>
      <c r="H880" s="105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  <c r="AA880" s="104"/>
      <c r="AB880" s="104"/>
      <c r="AC880" s="104"/>
    </row>
    <row r="881">
      <c r="A881" s="104"/>
      <c r="B881" s="104"/>
      <c r="C881" s="104"/>
      <c r="D881" s="104"/>
      <c r="E881" s="104"/>
      <c r="F881" s="104"/>
      <c r="G881" s="104"/>
      <c r="H881" s="105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  <c r="AA881" s="104"/>
      <c r="AB881" s="104"/>
      <c r="AC881" s="104"/>
    </row>
    <row r="882">
      <c r="A882" s="104"/>
      <c r="B882" s="104"/>
      <c r="C882" s="104"/>
      <c r="D882" s="104"/>
      <c r="E882" s="104"/>
      <c r="F882" s="104"/>
      <c r="G882" s="104"/>
      <c r="H882" s="105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  <c r="AA882" s="104"/>
      <c r="AB882" s="104"/>
      <c r="AC882" s="104"/>
    </row>
    <row r="883">
      <c r="A883" s="104"/>
      <c r="B883" s="104"/>
      <c r="C883" s="104"/>
      <c r="D883" s="104"/>
      <c r="E883" s="104"/>
      <c r="F883" s="104"/>
      <c r="G883" s="104"/>
      <c r="H883" s="105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  <c r="AA883" s="104"/>
      <c r="AB883" s="104"/>
      <c r="AC883" s="104"/>
    </row>
    <row r="884">
      <c r="A884" s="104"/>
      <c r="B884" s="104"/>
      <c r="C884" s="104"/>
      <c r="D884" s="104"/>
      <c r="E884" s="104"/>
      <c r="F884" s="104"/>
      <c r="G884" s="104"/>
      <c r="H884" s="105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  <c r="AA884" s="104"/>
      <c r="AB884" s="104"/>
      <c r="AC884" s="104"/>
    </row>
    <row r="885">
      <c r="A885" s="104"/>
      <c r="B885" s="104"/>
      <c r="C885" s="104"/>
      <c r="D885" s="104"/>
      <c r="E885" s="104"/>
      <c r="F885" s="104"/>
      <c r="G885" s="104"/>
      <c r="H885" s="105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  <c r="AA885" s="104"/>
      <c r="AB885" s="104"/>
      <c r="AC885" s="104"/>
    </row>
    <row r="886">
      <c r="A886" s="104"/>
      <c r="B886" s="104"/>
      <c r="C886" s="104"/>
      <c r="D886" s="104"/>
      <c r="E886" s="104"/>
      <c r="F886" s="104"/>
      <c r="G886" s="104"/>
      <c r="H886" s="105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  <c r="AA886" s="104"/>
      <c r="AB886" s="104"/>
      <c r="AC886" s="104"/>
    </row>
    <row r="887">
      <c r="A887" s="104"/>
      <c r="B887" s="104"/>
      <c r="C887" s="104"/>
      <c r="D887" s="104"/>
      <c r="E887" s="104"/>
      <c r="F887" s="104"/>
      <c r="G887" s="104"/>
      <c r="H887" s="105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  <c r="AA887" s="104"/>
      <c r="AB887" s="104"/>
      <c r="AC887" s="104"/>
    </row>
    <row r="888">
      <c r="A888" s="104"/>
      <c r="B888" s="104"/>
      <c r="C888" s="104"/>
      <c r="D888" s="104"/>
      <c r="E888" s="104"/>
      <c r="F888" s="104"/>
      <c r="G888" s="104"/>
      <c r="H888" s="105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  <c r="AA888" s="104"/>
      <c r="AB888" s="104"/>
      <c r="AC888" s="104"/>
    </row>
    <row r="889">
      <c r="A889" s="104"/>
      <c r="B889" s="104"/>
      <c r="C889" s="104"/>
      <c r="D889" s="104"/>
      <c r="E889" s="104"/>
      <c r="F889" s="104"/>
      <c r="G889" s="104"/>
      <c r="H889" s="105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  <c r="AA889" s="104"/>
      <c r="AB889" s="104"/>
      <c r="AC889" s="104"/>
    </row>
    <row r="890">
      <c r="A890" s="104"/>
      <c r="B890" s="104"/>
      <c r="C890" s="104"/>
      <c r="D890" s="104"/>
      <c r="E890" s="104"/>
      <c r="F890" s="104"/>
      <c r="G890" s="104"/>
      <c r="H890" s="105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  <c r="AA890" s="104"/>
      <c r="AB890" s="104"/>
      <c r="AC890" s="104"/>
    </row>
    <row r="891">
      <c r="A891" s="104"/>
      <c r="B891" s="104"/>
      <c r="C891" s="104"/>
      <c r="D891" s="104"/>
      <c r="E891" s="104"/>
      <c r="F891" s="104"/>
      <c r="G891" s="104"/>
      <c r="H891" s="105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  <c r="AA891" s="104"/>
      <c r="AB891" s="104"/>
      <c r="AC891" s="104"/>
    </row>
    <row r="892">
      <c r="A892" s="104"/>
      <c r="B892" s="104"/>
      <c r="C892" s="104"/>
      <c r="D892" s="104"/>
      <c r="E892" s="104"/>
      <c r="F892" s="104"/>
      <c r="G892" s="104"/>
      <c r="H892" s="105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  <c r="AA892" s="104"/>
      <c r="AB892" s="104"/>
      <c r="AC892" s="104"/>
    </row>
    <row r="893">
      <c r="A893" s="104"/>
      <c r="B893" s="104"/>
      <c r="C893" s="104"/>
      <c r="D893" s="104"/>
      <c r="E893" s="104"/>
      <c r="F893" s="104"/>
      <c r="G893" s="104"/>
      <c r="H893" s="105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  <c r="AA893" s="104"/>
      <c r="AB893" s="104"/>
      <c r="AC893" s="104"/>
    </row>
    <row r="894">
      <c r="A894" s="104"/>
      <c r="B894" s="104"/>
      <c r="C894" s="104"/>
      <c r="D894" s="104"/>
      <c r="E894" s="104"/>
      <c r="F894" s="104"/>
      <c r="G894" s="104"/>
      <c r="H894" s="105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  <c r="AA894" s="104"/>
      <c r="AB894" s="104"/>
      <c r="AC894" s="104"/>
    </row>
    <row r="895">
      <c r="A895" s="104"/>
      <c r="B895" s="104"/>
      <c r="C895" s="104"/>
      <c r="D895" s="104"/>
      <c r="E895" s="104"/>
      <c r="F895" s="104"/>
      <c r="G895" s="104"/>
      <c r="H895" s="105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  <c r="AA895" s="104"/>
      <c r="AB895" s="104"/>
      <c r="AC895" s="104"/>
    </row>
    <row r="896">
      <c r="A896" s="104"/>
      <c r="B896" s="104"/>
      <c r="C896" s="104"/>
      <c r="D896" s="104"/>
      <c r="E896" s="104"/>
      <c r="F896" s="104"/>
      <c r="G896" s="104"/>
      <c r="H896" s="105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  <c r="AA896" s="104"/>
      <c r="AB896" s="104"/>
      <c r="AC896" s="104"/>
    </row>
    <row r="897">
      <c r="A897" s="104"/>
      <c r="B897" s="104"/>
      <c r="C897" s="104"/>
      <c r="D897" s="104"/>
      <c r="E897" s="104"/>
      <c r="F897" s="104"/>
      <c r="G897" s="104"/>
      <c r="H897" s="105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  <c r="AA897" s="104"/>
      <c r="AB897" s="104"/>
      <c r="AC897" s="104"/>
    </row>
    <row r="898">
      <c r="A898" s="104"/>
      <c r="B898" s="104"/>
      <c r="C898" s="104"/>
      <c r="D898" s="104"/>
      <c r="E898" s="104"/>
      <c r="F898" s="104"/>
      <c r="G898" s="104"/>
      <c r="H898" s="105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  <c r="AA898" s="104"/>
      <c r="AB898" s="104"/>
      <c r="AC898" s="104"/>
    </row>
    <row r="899">
      <c r="A899" s="104"/>
      <c r="B899" s="104"/>
      <c r="C899" s="104"/>
      <c r="D899" s="104"/>
      <c r="E899" s="104"/>
      <c r="F899" s="104"/>
      <c r="G899" s="104"/>
      <c r="H899" s="105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  <c r="AA899" s="104"/>
      <c r="AB899" s="104"/>
      <c r="AC899" s="104"/>
    </row>
    <row r="900">
      <c r="A900" s="104"/>
      <c r="B900" s="104"/>
      <c r="C900" s="104"/>
      <c r="D900" s="104"/>
      <c r="E900" s="104"/>
      <c r="F900" s="104"/>
      <c r="G900" s="104"/>
      <c r="H900" s="105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  <c r="AA900" s="104"/>
      <c r="AB900" s="104"/>
      <c r="AC900" s="104"/>
    </row>
    <row r="901">
      <c r="A901" s="104"/>
      <c r="B901" s="104"/>
      <c r="C901" s="104"/>
      <c r="D901" s="104"/>
      <c r="E901" s="104"/>
      <c r="F901" s="104"/>
      <c r="G901" s="104"/>
      <c r="H901" s="105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  <c r="AA901" s="104"/>
      <c r="AB901" s="104"/>
      <c r="AC901" s="104"/>
    </row>
    <row r="902">
      <c r="A902" s="104"/>
      <c r="B902" s="104"/>
      <c r="C902" s="104"/>
      <c r="D902" s="104"/>
      <c r="E902" s="104"/>
      <c r="F902" s="104"/>
      <c r="G902" s="104"/>
      <c r="H902" s="105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  <c r="AA902" s="104"/>
      <c r="AB902" s="104"/>
      <c r="AC902" s="104"/>
    </row>
    <row r="903">
      <c r="A903" s="104"/>
      <c r="B903" s="104"/>
      <c r="C903" s="104"/>
      <c r="D903" s="104"/>
      <c r="E903" s="104"/>
      <c r="F903" s="104"/>
      <c r="G903" s="104"/>
      <c r="H903" s="105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  <c r="AA903" s="104"/>
      <c r="AB903" s="104"/>
      <c r="AC903" s="104"/>
    </row>
    <row r="904">
      <c r="A904" s="104"/>
      <c r="B904" s="104"/>
      <c r="C904" s="104"/>
      <c r="D904" s="104"/>
      <c r="E904" s="104"/>
      <c r="F904" s="104"/>
      <c r="G904" s="104"/>
      <c r="H904" s="105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  <c r="AA904" s="104"/>
      <c r="AB904" s="104"/>
      <c r="AC904" s="104"/>
    </row>
    <row r="905">
      <c r="A905" s="104"/>
      <c r="B905" s="104"/>
      <c r="C905" s="104"/>
      <c r="D905" s="104"/>
      <c r="E905" s="104"/>
      <c r="F905" s="104"/>
      <c r="G905" s="104"/>
      <c r="H905" s="105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</row>
    <row r="906">
      <c r="A906" s="104"/>
      <c r="B906" s="104"/>
      <c r="C906" s="104"/>
      <c r="D906" s="104"/>
      <c r="E906" s="104"/>
      <c r="F906" s="104"/>
      <c r="G906" s="104"/>
      <c r="H906" s="105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</row>
    <row r="907">
      <c r="A907" s="104"/>
      <c r="B907" s="104"/>
      <c r="C907" s="104"/>
      <c r="D907" s="104"/>
      <c r="E907" s="104"/>
      <c r="F907" s="104"/>
      <c r="G907" s="104"/>
      <c r="H907" s="105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</row>
    <row r="908">
      <c r="A908" s="104"/>
      <c r="B908" s="104"/>
      <c r="C908" s="104"/>
      <c r="D908" s="104"/>
      <c r="E908" s="104"/>
      <c r="F908" s="104"/>
      <c r="G908" s="104"/>
      <c r="H908" s="105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</row>
    <row r="909">
      <c r="A909" s="104"/>
      <c r="B909" s="104"/>
      <c r="C909" s="104"/>
      <c r="D909" s="104"/>
      <c r="E909" s="104"/>
      <c r="F909" s="104"/>
      <c r="G909" s="104"/>
      <c r="H909" s="105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</row>
    <row r="910">
      <c r="A910" s="104"/>
      <c r="B910" s="104"/>
      <c r="C910" s="104"/>
      <c r="D910" s="104"/>
      <c r="E910" s="104"/>
      <c r="F910" s="104"/>
      <c r="G910" s="104"/>
      <c r="H910" s="105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</row>
    <row r="911">
      <c r="A911" s="104"/>
      <c r="B911" s="104"/>
      <c r="C911" s="104"/>
      <c r="D911" s="104"/>
      <c r="E911" s="104"/>
      <c r="F911" s="104"/>
      <c r="G911" s="104"/>
      <c r="H911" s="105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</row>
    <row r="912">
      <c r="A912" s="104"/>
      <c r="B912" s="104"/>
      <c r="C912" s="104"/>
      <c r="D912" s="104"/>
      <c r="E912" s="104"/>
      <c r="F912" s="104"/>
      <c r="G912" s="104"/>
      <c r="H912" s="105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</row>
    <row r="913">
      <c r="A913" s="104"/>
      <c r="B913" s="104"/>
      <c r="C913" s="104"/>
      <c r="D913" s="104"/>
      <c r="E913" s="104"/>
      <c r="F913" s="104"/>
      <c r="G913" s="104"/>
      <c r="H913" s="105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</row>
    <row r="914">
      <c r="A914" s="104"/>
      <c r="B914" s="104"/>
      <c r="C914" s="104"/>
      <c r="D914" s="104"/>
      <c r="E914" s="104"/>
      <c r="F914" s="104"/>
      <c r="G914" s="104"/>
      <c r="H914" s="105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</row>
    <row r="915">
      <c r="A915" s="104"/>
      <c r="B915" s="104"/>
      <c r="C915" s="104"/>
      <c r="D915" s="104"/>
      <c r="E915" s="104"/>
      <c r="F915" s="104"/>
      <c r="G915" s="104"/>
      <c r="H915" s="105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</row>
    <row r="916">
      <c r="A916" s="104"/>
      <c r="B916" s="104"/>
      <c r="C916" s="104"/>
      <c r="D916" s="104"/>
      <c r="E916" s="104"/>
      <c r="F916" s="104"/>
      <c r="G916" s="104"/>
      <c r="H916" s="105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</row>
    <row r="917">
      <c r="A917" s="104"/>
      <c r="B917" s="104"/>
      <c r="C917" s="104"/>
      <c r="D917" s="104"/>
      <c r="E917" s="104"/>
      <c r="F917" s="104"/>
      <c r="G917" s="104"/>
      <c r="H917" s="105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</row>
    <row r="918">
      <c r="A918" s="104"/>
      <c r="B918" s="104"/>
      <c r="C918" s="104"/>
      <c r="D918" s="104"/>
      <c r="E918" s="104"/>
      <c r="F918" s="104"/>
      <c r="G918" s="104"/>
      <c r="H918" s="105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</row>
    <row r="919">
      <c r="A919" s="104"/>
      <c r="B919" s="104"/>
      <c r="C919" s="104"/>
      <c r="D919" s="104"/>
      <c r="E919" s="104"/>
      <c r="F919" s="104"/>
      <c r="G919" s="104"/>
      <c r="H919" s="105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</row>
    <row r="920">
      <c r="A920" s="104"/>
      <c r="B920" s="104"/>
      <c r="C920" s="104"/>
      <c r="D920" s="104"/>
      <c r="E920" s="104"/>
      <c r="F920" s="104"/>
      <c r="G920" s="104"/>
      <c r="H920" s="105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</row>
    <row r="921">
      <c r="A921" s="104"/>
      <c r="B921" s="104"/>
      <c r="C921" s="104"/>
      <c r="D921" s="104"/>
      <c r="E921" s="104"/>
      <c r="F921" s="104"/>
      <c r="G921" s="104"/>
      <c r="H921" s="105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</row>
    <row r="922">
      <c r="A922" s="104"/>
      <c r="B922" s="104"/>
      <c r="C922" s="104"/>
      <c r="D922" s="104"/>
      <c r="E922" s="104"/>
      <c r="F922" s="104"/>
      <c r="G922" s="104"/>
      <c r="H922" s="105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</row>
    <row r="923">
      <c r="A923" s="104"/>
      <c r="B923" s="104"/>
      <c r="C923" s="104"/>
      <c r="D923" s="104"/>
      <c r="E923" s="104"/>
      <c r="F923" s="104"/>
      <c r="G923" s="104"/>
      <c r="H923" s="105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</row>
    <row r="924">
      <c r="A924" s="104"/>
      <c r="B924" s="104"/>
      <c r="C924" s="104"/>
      <c r="D924" s="104"/>
      <c r="E924" s="104"/>
      <c r="F924" s="104"/>
      <c r="G924" s="104"/>
      <c r="H924" s="105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</row>
    <row r="925">
      <c r="A925" s="104"/>
      <c r="B925" s="104"/>
      <c r="C925" s="104"/>
      <c r="D925" s="104"/>
      <c r="E925" s="104"/>
      <c r="F925" s="104"/>
      <c r="G925" s="104"/>
      <c r="H925" s="105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</row>
    <row r="926">
      <c r="A926" s="104"/>
      <c r="B926" s="104"/>
      <c r="C926" s="104"/>
      <c r="D926" s="104"/>
      <c r="E926" s="104"/>
      <c r="F926" s="104"/>
      <c r="G926" s="104"/>
      <c r="H926" s="105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</row>
    <row r="927">
      <c r="A927" s="104"/>
      <c r="B927" s="104"/>
      <c r="C927" s="104"/>
      <c r="D927" s="104"/>
      <c r="E927" s="104"/>
      <c r="F927" s="104"/>
      <c r="G927" s="104"/>
      <c r="H927" s="105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</row>
    <row r="928">
      <c r="A928" s="104"/>
      <c r="B928" s="104"/>
      <c r="C928" s="104"/>
      <c r="D928" s="104"/>
      <c r="E928" s="104"/>
      <c r="F928" s="104"/>
      <c r="G928" s="104"/>
      <c r="H928" s="105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</row>
    <row r="929">
      <c r="A929" s="104"/>
      <c r="B929" s="104"/>
      <c r="C929" s="104"/>
      <c r="D929" s="104"/>
      <c r="E929" s="104"/>
      <c r="F929" s="104"/>
      <c r="G929" s="104"/>
      <c r="H929" s="105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</row>
    <row r="930">
      <c r="A930" s="104"/>
      <c r="B930" s="104"/>
      <c r="C930" s="104"/>
      <c r="D930" s="104"/>
      <c r="E930" s="104"/>
      <c r="F930" s="104"/>
      <c r="G930" s="104"/>
      <c r="H930" s="105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</row>
    <row r="931">
      <c r="A931" s="104"/>
      <c r="B931" s="104"/>
      <c r="C931" s="104"/>
      <c r="D931" s="104"/>
      <c r="E931" s="104"/>
      <c r="F931" s="104"/>
      <c r="G931" s="104"/>
      <c r="H931" s="105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</row>
    <row r="932">
      <c r="A932" s="104"/>
      <c r="B932" s="104"/>
      <c r="C932" s="104"/>
      <c r="D932" s="104"/>
      <c r="E932" s="104"/>
      <c r="F932" s="104"/>
      <c r="G932" s="104"/>
      <c r="H932" s="105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</row>
    <row r="933">
      <c r="A933" s="104"/>
      <c r="B933" s="104"/>
      <c r="C933" s="104"/>
      <c r="D933" s="104"/>
      <c r="E933" s="104"/>
      <c r="F933" s="104"/>
      <c r="G933" s="104"/>
      <c r="H933" s="105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</row>
    <row r="934">
      <c r="A934" s="104"/>
      <c r="B934" s="104"/>
      <c r="C934" s="104"/>
      <c r="D934" s="104"/>
      <c r="E934" s="104"/>
      <c r="F934" s="104"/>
      <c r="G934" s="104"/>
      <c r="H934" s="105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</row>
    <row r="935">
      <c r="A935" s="104"/>
      <c r="B935" s="104"/>
      <c r="C935" s="104"/>
      <c r="D935" s="104"/>
      <c r="E935" s="104"/>
      <c r="F935" s="104"/>
      <c r="G935" s="104"/>
      <c r="H935" s="105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</row>
    <row r="936">
      <c r="A936" s="104"/>
      <c r="B936" s="104"/>
      <c r="C936" s="104"/>
      <c r="D936" s="104"/>
      <c r="E936" s="104"/>
      <c r="F936" s="104"/>
      <c r="G936" s="104"/>
      <c r="H936" s="105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</row>
    <row r="937">
      <c r="A937" s="104"/>
      <c r="B937" s="104"/>
      <c r="C937" s="104"/>
      <c r="D937" s="104"/>
      <c r="E937" s="104"/>
      <c r="F937" s="104"/>
      <c r="G937" s="104"/>
      <c r="H937" s="105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</row>
    <row r="938">
      <c r="A938" s="104"/>
      <c r="B938" s="104"/>
      <c r="C938" s="104"/>
      <c r="D938" s="104"/>
      <c r="E938" s="104"/>
      <c r="F938" s="104"/>
      <c r="G938" s="104"/>
      <c r="H938" s="105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</row>
    <row r="939">
      <c r="A939" s="104"/>
      <c r="B939" s="104"/>
      <c r="C939" s="104"/>
      <c r="D939" s="104"/>
      <c r="E939" s="104"/>
      <c r="F939" s="104"/>
      <c r="G939" s="104"/>
      <c r="H939" s="105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</row>
    <row r="940">
      <c r="A940" s="104"/>
      <c r="B940" s="104"/>
      <c r="C940" s="104"/>
      <c r="D940" s="104"/>
      <c r="E940" s="104"/>
      <c r="F940" s="104"/>
      <c r="G940" s="104"/>
      <c r="H940" s="105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</row>
    <row r="941">
      <c r="A941" s="104"/>
      <c r="B941" s="104"/>
      <c r="C941" s="104"/>
      <c r="D941" s="104"/>
      <c r="E941" s="104"/>
      <c r="F941" s="104"/>
      <c r="G941" s="104"/>
      <c r="H941" s="105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</row>
    <row r="942">
      <c r="A942" s="104"/>
      <c r="B942" s="104"/>
      <c r="C942" s="104"/>
      <c r="D942" s="104"/>
      <c r="E942" s="104"/>
      <c r="F942" s="104"/>
      <c r="G942" s="104"/>
      <c r="H942" s="105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</row>
    <row r="943">
      <c r="A943" s="104"/>
      <c r="B943" s="104"/>
      <c r="C943" s="104"/>
      <c r="D943" s="104"/>
      <c r="E943" s="104"/>
      <c r="F943" s="104"/>
      <c r="G943" s="104"/>
      <c r="H943" s="105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</row>
    <row r="944">
      <c r="A944" s="104"/>
      <c r="B944" s="104"/>
      <c r="C944" s="104"/>
      <c r="D944" s="104"/>
      <c r="E944" s="104"/>
      <c r="F944" s="104"/>
      <c r="G944" s="104"/>
      <c r="H944" s="105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</row>
    <row r="945">
      <c r="A945" s="104"/>
      <c r="B945" s="104"/>
      <c r="C945" s="104"/>
      <c r="D945" s="104"/>
      <c r="E945" s="104"/>
      <c r="F945" s="104"/>
      <c r="G945" s="104"/>
      <c r="H945" s="105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</row>
    <row r="946">
      <c r="A946" s="104"/>
      <c r="B946" s="104"/>
      <c r="C946" s="104"/>
      <c r="D946" s="104"/>
      <c r="E946" s="104"/>
      <c r="F946" s="104"/>
      <c r="G946" s="104"/>
      <c r="H946" s="105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</row>
    <row r="947">
      <c r="A947" s="104"/>
      <c r="B947" s="104"/>
      <c r="C947" s="104"/>
      <c r="D947" s="104"/>
      <c r="E947" s="104"/>
      <c r="F947" s="104"/>
      <c r="G947" s="104"/>
      <c r="H947" s="105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</row>
    <row r="948">
      <c r="A948" s="104"/>
      <c r="B948" s="104"/>
      <c r="C948" s="104"/>
      <c r="D948" s="104"/>
      <c r="E948" s="104"/>
      <c r="F948" s="104"/>
      <c r="G948" s="104"/>
      <c r="H948" s="105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</row>
    <row r="949">
      <c r="A949" s="104"/>
      <c r="B949" s="104"/>
      <c r="C949" s="104"/>
      <c r="D949" s="104"/>
      <c r="E949" s="104"/>
      <c r="F949" s="104"/>
      <c r="G949" s="104"/>
      <c r="H949" s="105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</row>
    <row r="950">
      <c r="A950" s="104"/>
      <c r="B950" s="104"/>
      <c r="C950" s="104"/>
      <c r="D950" s="104"/>
      <c r="E950" s="104"/>
      <c r="F950" s="104"/>
      <c r="G950" s="104"/>
      <c r="H950" s="105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</row>
    <row r="951">
      <c r="A951" s="104"/>
      <c r="B951" s="104"/>
      <c r="C951" s="104"/>
      <c r="D951" s="104"/>
      <c r="E951" s="104"/>
      <c r="F951" s="104"/>
      <c r="G951" s="104"/>
      <c r="H951" s="105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</row>
    <row r="952">
      <c r="A952" s="104"/>
      <c r="B952" s="104"/>
      <c r="C952" s="104"/>
      <c r="D952" s="104"/>
      <c r="E952" s="104"/>
      <c r="F952" s="104"/>
      <c r="G952" s="104"/>
      <c r="H952" s="105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</row>
    <row r="953">
      <c r="A953" s="104"/>
      <c r="B953" s="104"/>
      <c r="C953" s="104"/>
      <c r="D953" s="104"/>
      <c r="E953" s="104"/>
      <c r="F953" s="104"/>
      <c r="G953" s="104"/>
      <c r="H953" s="105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</row>
    <row r="954">
      <c r="A954" s="104"/>
      <c r="B954" s="104"/>
      <c r="C954" s="104"/>
      <c r="D954" s="104"/>
      <c r="E954" s="104"/>
      <c r="F954" s="104"/>
      <c r="G954" s="104"/>
      <c r="H954" s="105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</row>
    <row r="955">
      <c r="A955" s="104"/>
      <c r="B955" s="104"/>
      <c r="C955" s="104"/>
      <c r="D955" s="104"/>
      <c r="E955" s="104"/>
      <c r="F955" s="104"/>
      <c r="G955" s="104"/>
      <c r="H955" s="105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</row>
    <row r="956">
      <c r="A956" s="104"/>
      <c r="B956" s="104"/>
      <c r="C956" s="104"/>
      <c r="D956" s="104"/>
      <c r="E956" s="104"/>
      <c r="F956" s="104"/>
      <c r="G956" s="104"/>
      <c r="H956" s="105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</row>
    <row r="957">
      <c r="A957" s="104"/>
      <c r="B957" s="104"/>
      <c r="C957" s="104"/>
      <c r="D957" s="104"/>
      <c r="E957" s="104"/>
      <c r="F957" s="104"/>
      <c r="G957" s="104"/>
      <c r="H957" s="105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</row>
    <row r="958">
      <c r="A958" s="104"/>
      <c r="B958" s="104"/>
      <c r="C958" s="104"/>
      <c r="D958" s="104"/>
      <c r="E958" s="104"/>
      <c r="F958" s="104"/>
      <c r="G958" s="104"/>
      <c r="H958" s="105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</row>
    <row r="959">
      <c r="A959" s="104"/>
      <c r="B959" s="104"/>
      <c r="C959" s="104"/>
      <c r="D959" s="104"/>
      <c r="E959" s="104"/>
      <c r="F959" s="104"/>
      <c r="G959" s="104"/>
      <c r="H959" s="105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</row>
    <row r="960">
      <c r="A960" s="104"/>
      <c r="B960" s="104"/>
      <c r="C960" s="104"/>
      <c r="D960" s="104"/>
      <c r="E960" s="104"/>
      <c r="F960" s="104"/>
      <c r="G960" s="104"/>
      <c r="H960" s="105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</row>
    <row r="961">
      <c r="A961" s="104"/>
      <c r="B961" s="104"/>
      <c r="C961" s="104"/>
      <c r="D961" s="104"/>
      <c r="E961" s="104"/>
      <c r="F961" s="104"/>
      <c r="G961" s="104"/>
      <c r="H961" s="105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</row>
    <row r="962">
      <c r="A962" s="104"/>
      <c r="B962" s="104"/>
      <c r="C962" s="104"/>
      <c r="D962" s="104"/>
      <c r="E962" s="104"/>
      <c r="F962" s="104"/>
      <c r="G962" s="104"/>
      <c r="H962" s="105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</row>
    <row r="963">
      <c r="A963" s="104"/>
      <c r="B963" s="104"/>
      <c r="C963" s="104"/>
      <c r="D963" s="104"/>
      <c r="E963" s="104"/>
      <c r="F963" s="104"/>
      <c r="G963" s="104"/>
      <c r="H963" s="105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</row>
    <row r="964">
      <c r="A964" s="104"/>
      <c r="B964" s="104"/>
      <c r="C964" s="104"/>
      <c r="D964" s="104"/>
      <c r="E964" s="104"/>
      <c r="F964" s="104"/>
      <c r="G964" s="104"/>
      <c r="H964" s="105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</row>
    <row r="965">
      <c r="A965" s="104"/>
      <c r="B965" s="104"/>
      <c r="C965" s="104"/>
      <c r="D965" s="104"/>
      <c r="E965" s="104"/>
      <c r="F965" s="104"/>
      <c r="G965" s="104"/>
      <c r="H965" s="105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</row>
    <row r="966">
      <c r="A966" s="104"/>
      <c r="B966" s="104"/>
      <c r="C966" s="104"/>
      <c r="D966" s="104"/>
      <c r="E966" s="104"/>
      <c r="F966" s="104"/>
      <c r="G966" s="104"/>
      <c r="H966" s="105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</row>
    <row r="967">
      <c r="A967" s="104"/>
      <c r="B967" s="104"/>
      <c r="C967" s="104"/>
      <c r="D967" s="104"/>
      <c r="E967" s="104"/>
      <c r="F967" s="104"/>
      <c r="G967" s="104"/>
      <c r="H967" s="105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</row>
    <row r="968">
      <c r="A968" s="104"/>
      <c r="B968" s="104"/>
      <c r="C968" s="104"/>
      <c r="D968" s="104"/>
      <c r="E968" s="104"/>
      <c r="F968" s="104"/>
      <c r="G968" s="104"/>
      <c r="H968" s="105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</row>
    <row r="969">
      <c r="A969" s="104"/>
      <c r="B969" s="104"/>
      <c r="C969" s="104"/>
      <c r="D969" s="104"/>
      <c r="E969" s="104"/>
      <c r="F969" s="104"/>
      <c r="G969" s="104"/>
      <c r="H969" s="105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</row>
    <row r="970">
      <c r="A970" s="104"/>
      <c r="B970" s="104"/>
      <c r="C970" s="104"/>
      <c r="D970" s="104"/>
      <c r="E970" s="104"/>
      <c r="F970" s="104"/>
      <c r="G970" s="104"/>
      <c r="H970" s="105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</row>
    <row r="971">
      <c r="A971" s="104"/>
      <c r="B971" s="104"/>
      <c r="C971" s="104"/>
      <c r="D971" s="104"/>
      <c r="E971" s="104"/>
      <c r="F971" s="104"/>
      <c r="G971" s="104"/>
      <c r="H971" s="105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</row>
    <row r="972">
      <c r="A972" s="104"/>
      <c r="B972" s="104"/>
      <c r="C972" s="104"/>
      <c r="D972" s="104"/>
      <c r="E972" s="104"/>
      <c r="F972" s="104"/>
      <c r="G972" s="104"/>
      <c r="H972" s="105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</row>
    <row r="973">
      <c r="A973" s="104"/>
      <c r="B973" s="104"/>
      <c r="C973" s="104"/>
      <c r="D973" s="104"/>
      <c r="E973" s="104"/>
      <c r="F973" s="104"/>
      <c r="G973" s="104"/>
      <c r="H973" s="105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</row>
    <row r="974">
      <c r="A974" s="104"/>
      <c r="B974" s="104"/>
      <c r="C974" s="104"/>
      <c r="D974" s="104"/>
      <c r="E974" s="104"/>
      <c r="F974" s="104"/>
      <c r="G974" s="104"/>
      <c r="H974" s="105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</row>
    <row r="975">
      <c r="A975" s="104"/>
      <c r="B975" s="104"/>
      <c r="C975" s="104"/>
      <c r="D975" s="104"/>
      <c r="E975" s="104"/>
      <c r="F975" s="104"/>
      <c r="G975" s="104"/>
      <c r="H975" s="105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</row>
    <row r="976">
      <c r="A976" s="104"/>
      <c r="B976" s="104"/>
      <c r="C976" s="104"/>
      <c r="D976" s="104"/>
      <c r="E976" s="104"/>
      <c r="F976" s="104"/>
      <c r="G976" s="104"/>
      <c r="H976" s="105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</row>
    <row r="977">
      <c r="A977" s="104"/>
      <c r="B977" s="104"/>
      <c r="C977" s="104"/>
      <c r="D977" s="104"/>
      <c r="E977" s="104"/>
      <c r="F977" s="104"/>
      <c r="G977" s="104"/>
      <c r="H977" s="105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</row>
    <row r="978">
      <c r="A978" s="104"/>
      <c r="B978" s="104"/>
      <c r="C978" s="104"/>
      <c r="D978" s="104"/>
      <c r="E978" s="104"/>
      <c r="F978" s="104"/>
      <c r="G978" s="104"/>
      <c r="H978" s="105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</row>
    <row r="979">
      <c r="A979" s="104"/>
      <c r="B979" s="104"/>
      <c r="C979" s="104"/>
      <c r="D979" s="104"/>
      <c r="E979" s="104"/>
      <c r="F979" s="104"/>
      <c r="G979" s="104"/>
      <c r="H979" s="105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</row>
    <row r="980">
      <c r="A980" s="104"/>
      <c r="B980" s="104"/>
      <c r="C980" s="104"/>
      <c r="D980" s="104"/>
      <c r="E980" s="104"/>
      <c r="F980" s="104"/>
      <c r="G980" s="104"/>
      <c r="H980" s="105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</row>
    <row r="981">
      <c r="A981" s="104"/>
      <c r="B981" s="104"/>
      <c r="C981" s="104"/>
      <c r="D981" s="104"/>
      <c r="E981" s="104"/>
      <c r="F981" s="104"/>
      <c r="G981" s="104"/>
      <c r="H981" s="105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</row>
    <row r="982">
      <c r="A982" s="104"/>
      <c r="B982" s="104"/>
      <c r="C982" s="104"/>
      <c r="D982" s="104"/>
      <c r="E982" s="104"/>
      <c r="F982" s="104"/>
      <c r="G982" s="104"/>
      <c r="H982" s="105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</row>
    <row r="983">
      <c r="A983" s="104"/>
      <c r="B983" s="104"/>
      <c r="C983" s="104"/>
      <c r="D983" s="104"/>
      <c r="E983" s="104"/>
      <c r="F983" s="104"/>
      <c r="G983" s="104"/>
      <c r="H983" s="105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</row>
    <row r="984">
      <c r="A984" s="104"/>
      <c r="B984" s="104"/>
      <c r="C984" s="104"/>
      <c r="D984" s="104"/>
      <c r="E984" s="104"/>
      <c r="F984" s="104"/>
      <c r="G984" s="104"/>
      <c r="H984" s="105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</row>
    <row r="985">
      <c r="A985" s="104"/>
      <c r="B985" s="104"/>
      <c r="C985" s="104"/>
      <c r="D985" s="104"/>
      <c r="E985" s="104"/>
      <c r="F985" s="104"/>
      <c r="G985" s="104"/>
      <c r="H985" s="105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</row>
    <row r="986">
      <c r="A986" s="104"/>
      <c r="B986" s="104"/>
      <c r="C986" s="104"/>
      <c r="D986" s="104"/>
      <c r="E986" s="104"/>
      <c r="F986" s="104"/>
      <c r="G986" s="104"/>
      <c r="H986" s="105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</row>
    <row r="987">
      <c r="A987" s="104"/>
      <c r="B987" s="104"/>
      <c r="C987" s="104"/>
      <c r="D987" s="104"/>
      <c r="E987" s="104"/>
      <c r="F987" s="104"/>
      <c r="G987" s="104"/>
      <c r="H987" s="105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</row>
    <row r="988">
      <c r="A988" s="104"/>
      <c r="B988" s="104"/>
      <c r="C988" s="104"/>
      <c r="D988" s="104"/>
      <c r="E988" s="104"/>
      <c r="F988" s="104"/>
      <c r="G988" s="104"/>
      <c r="H988" s="105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</row>
    <row r="989">
      <c r="A989" s="104"/>
      <c r="B989" s="104"/>
      <c r="C989" s="104"/>
      <c r="D989" s="104"/>
      <c r="E989" s="104"/>
      <c r="F989" s="104"/>
      <c r="G989" s="104"/>
      <c r="H989" s="105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  <c r="AA989" s="104"/>
      <c r="AB989" s="104"/>
      <c r="AC989" s="104"/>
    </row>
    <row r="990">
      <c r="A990" s="104"/>
      <c r="B990" s="104"/>
      <c r="C990" s="104"/>
      <c r="D990" s="104"/>
      <c r="E990" s="104"/>
      <c r="F990" s="104"/>
      <c r="G990" s="104"/>
      <c r="H990" s="105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  <c r="AA990" s="104"/>
      <c r="AB990" s="104"/>
      <c r="AC990" s="104"/>
    </row>
    <row r="991">
      <c r="A991" s="104"/>
      <c r="B991" s="104"/>
      <c r="C991" s="104"/>
      <c r="D991" s="104"/>
      <c r="E991" s="104"/>
      <c r="F991" s="104"/>
      <c r="G991" s="104"/>
      <c r="H991" s="105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  <c r="AA991" s="104"/>
      <c r="AB991" s="104"/>
      <c r="AC991" s="104"/>
    </row>
    <row r="992">
      <c r="A992" s="104"/>
      <c r="B992" s="104"/>
      <c r="C992" s="104"/>
      <c r="D992" s="104"/>
      <c r="E992" s="104"/>
      <c r="F992" s="104"/>
      <c r="G992" s="104"/>
      <c r="H992" s="105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  <c r="AA992" s="104"/>
      <c r="AB992" s="104"/>
      <c r="AC992" s="104"/>
    </row>
    <row r="993">
      <c r="A993" s="104"/>
      <c r="B993" s="104"/>
      <c r="C993" s="104"/>
      <c r="D993" s="104"/>
      <c r="E993" s="104"/>
      <c r="F993" s="104"/>
      <c r="G993" s="104"/>
      <c r="H993" s="105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  <c r="AA993" s="104"/>
      <c r="AB993" s="104"/>
      <c r="AC993" s="104"/>
    </row>
    <row r="994">
      <c r="A994" s="104"/>
      <c r="B994" s="104"/>
      <c r="C994" s="104"/>
      <c r="D994" s="104"/>
      <c r="E994" s="104"/>
      <c r="F994" s="104"/>
      <c r="G994" s="104"/>
      <c r="H994" s="105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  <c r="AA994" s="104"/>
      <c r="AB994" s="104"/>
      <c r="AC994" s="104"/>
    </row>
    <row r="995">
      <c r="A995" s="104"/>
      <c r="B995" s="104"/>
      <c r="C995" s="104"/>
      <c r="D995" s="104"/>
      <c r="E995" s="104"/>
      <c r="F995" s="104"/>
      <c r="G995" s="104"/>
      <c r="H995" s="105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  <c r="AA995" s="104"/>
      <c r="AB995" s="104"/>
      <c r="AC995" s="104"/>
    </row>
    <row r="996">
      <c r="A996" s="104"/>
      <c r="B996" s="104"/>
      <c r="C996" s="104"/>
      <c r="D996" s="104"/>
      <c r="E996" s="104"/>
      <c r="F996" s="104"/>
      <c r="G996" s="104"/>
      <c r="H996" s="105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  <c r="AA996" s="104"/>
      <c r="AB996" s="104"/>
      <c r="AC996" s="104"/>
    </row>
    <row r="997">
      <c r="A997" s="104"/>
      <c r="B997" s="104"/>
      <c r="C997" s="104"/>
      <c r="D997" s="104"/>
      <c r="E997" s="104"/>
      <c r="F997" s="104"/>
      <c r="G997" s="104"/>
      <c r="H997" s="105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  <c r="AA997" s="104"/>
      <c r="AB997" s="104"/>
      <c r="AC997" s="104"/>
    </row>
    <row r="998">
      <c r="A998" s="104"/>
      <c r="B998" s="104"/>
      <c r="C998" s="104"/>
      <c r="D998" s="104"/>
      <c r="E998" s="104"/>
      <c r="F998" s="104"/>
      <c r="G998" s="104"/>
      <c r="H998" s="105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  <c r="AA998" s="104"/>
      <c r="AB998" s="104"/>
      <c r="AC998" s="104"/>
    </row>
    <row r="999">
      <c r="A999" s="104"/>
      <c r="B999" s="104"/>
      <c r="C999" s="104"/>
      <c r="D999" s="104"/>
      <c r="E999" s="104"/>
      <c r="F999" s="104"/>
      <c r="G999" s="104"/>
      <c r="H999" s="105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  <c r="AA999" s="104"/>
      <c r="AB999" s="104"/>
      <c r="AC999" s="104"/>
    </row>
    <row r="1000">
      <c r="A1000" s="104"/>
      <c r="B1000" s="104"/>
      <c r="C1000" s="104"/>
      <c r="D1000" s="104"/>
      <c r="E1000" s="104"/>
      <c r="F1000" s="104"/>
      <c r="G1000" s="104"/>
      <c r="H1000" s="105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  <c r="AA1000" s="104"/>
      <c r="AB1000" s="104"/>
      <c r="AC1000" s="10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4.5"/>
    <col customWidth="1" min="2" max="2" width="39.75"/>
    <col customWidth="1" min="3" max="3" width="54.88"/>
    <col customWidth="1" min="4" max="4" width="46.88"/>
    <col customWidth="1" min="5" max="5" width="37.38"/>
    <col customWidth="1" min="6" max="6" width="20.38"/>
    <col customWidth="1" min="7" max="7" width="34.25"/>
    <col customWidth="1" min="8" max="8" width="19.75"/>
    <col customWidth="1" min="9" max="9" width="33.5"/>
    <col customWidth="1" min="10" max="10" width="48.88"/>
    <col customWidth="1" min="12" max="12" width="33.5"/>
    <col customWidth="1" min="13" max="13" width="23.13"/>
  </cols>
  <sheetData>
    <row r="1">
      <c r="A1" s="127" t="s">
        <v>50</v>
      </c>
      <c r="B1" s="127" t="s">
        <v>87</v>
      </c>
      <c r="C1" s="127" t="s">
        <v>88</v>
      </c>
      <c r="D1" s="127" t="s">
        <v>89</v>
      </c>
      <c r="E1" s="127" t="s">
        <v>90</v>
      </c>
      <c r="F1" s="127" t="s">
        <v>91</v>
      </c>
      <c r="G1" s="127" t="s">
        <v>92</v>
      </c>
      <c r="H1" s="127" t="s">
        <v>93</v>
      </c>
      <c r="I1" s="127" t="s">
        <v>94</v>
      </c>
      <c r="J1" s="128" t="s">
        <v>7</v>
      </c>
      <c r="K1" s="128" t="s">
        <v>95</v>
      </c>
      <c r="L1" s="128" t="s">
        <v>96</v>
      </c>
      <c r="M1" s="127" t="s">
        <v>97</v>
      </c>
    </row>
    <row r="2">
      <c r="A2" s="129" t="s">
        <v>98</v>
      </c>
      <c r="B2" s="127" t="s">
        <v>99</v>
      </c>
      <c r="C2" s="127" t="s">
        <v>100</v>
      </c>
      <c r="D2" s="127" t="s">
        <v>101</v>
      </c>
      <c r="E2" s="127" t="s">
        <v>102</v>
      </c>
      <c r="F2" s="127" t="s">
        <v>103</v>
      </c>
      <c r="G2" s="127" t="s">
        <v>104</v>
      </c>
      <c r="H2" s="127" t="s">
        <v>105</v>
      </c>
      <c r="I2" s="127" t="s">
        <v>106</v>
      </c>
      <c r="J2" s="128" t="s">
        <v>107</v>
      </c>
      <c r="K2" s="128" t="s">
        <v>108</v>
      </c>
      <c r="L2" s="128" t="s">
        <v>109</v>
      </c>
      <c r="M2" s="42"/>
    </row>
    <row r="3">
      <c r="A3" s="127"/>
      <c r="B3" s="127"/>
      <c r="C3" s="127"/>
      <c r="D3" s="127"/>
      <c r="E3" s="127"/>
      <c r="F3" s="127"/>
      <c r="G3" s="127"/>
      <c r="H3" s="127"/>
      <c r="I3" s="127"/>
      <c r="M3" s="42"/>
    </row>
    <row r="4">
      <c r="A4" s="127"/>
      <c r="B4" s="127"/>
      <c r="C4" s="127"/>
      <c r="D4" s="127"/>
      <c r="E4" s="127"/>
      <c r="F4" s="127"/>
      <c r="G4" s="127"/>
      <c r="H4" s="127"/>
      <c r="I4" s="127"/>
      <c r="M4" s="42"/>
    </row>
    <row r="5">
      <c r="A5" s="127"/>
      <c r="B5" s="127"/>
      <c r="C5" s="127"/>
      <c r="D5" s="127"/>
      <c r="E5" s="127"/>
      <c r="F5" s="127"/>
      <c r="G5" s="127"/>
      <c r="H5" s="127"/>
      <c r="I5" s="127"/>
      <c r="M5" s="42"/>
    </row>
    <row r="6">
      <c r="A6" s="127"/>
      <c r="B6" s="127"/>
      <c r="C6" s="127"/>
      <c r="D6" s="127"/>
      <c r="E6" s="127"/>
      <c r="F6" s="127"/>
      <c r="G6" s="127"/>
      <c r="H6" s="127"/>
      <c r="I6" s="127"/>
      <c r="M6" s="42"/>
    </row>
    <row r="7">
      <c r="A7" s="127"/>
      <c r="B7" s="127"/>
      <c r="C7" s="127"/>
      <c r="D7" s="127"/>
      <c r="E7" s="127"/>
      <c r="F7" s="127"/>
      <c r="G7" s="127"/>
      <c r="H7" s="127"/>
      <c r="I7" s="127"/>
      <c r="M7" s="42"/>
    </row>
    <row r="8">
      <c r="A8" s="127"/>
      <c r="B8" s="127"/>
      <c r="C8" s="127"/>
      <c r="D8" s="127"/>
      <c r="E8" s="127"/>
      <c r="F8" s="127"/>
      <c r="G8" s="127"/>
      <c r="H8" s="127"/>
      <c r="I8" s="127"/>
      <c r="M8" s="42"/>
    </row>
    <row r="9">
      <c r="A9" s="127"/>
      <c r="B9" s="127"/>
      <c r="C9" s="127"/>
      <c r="D9" s="127"/>
      <c r="E9" s="127"/>
      <c r="F9" s="127"/>
      <c r="G9" s="127"/>
      <c r="H9" s="127"/>
      <c r="I9" s="127"/>
      <c r="M9" s="42"/>
    </row>
    <row r="10">
      <c r="A10" s="127"/>
      <c r="B10" s="127"/>
      <c r="C10" s="127"/>
      <c r="D10" s="127"/>
      <c r="E10" s="127"/>
      <c r="F10" s="127"/>
      <c r="G10" s="127"/>
      <c r="H10" s="127"/>
      <c r="I10" s="127"/>
      <c r="M10" s="42"/>
    </row>
    <row r="11">
      <c r="A11" s="127"/>
      <c r="B11" s="127"/>
      <c r="C11" s="127"/>
      <c r="D11" s="127"/>
      <c r="E11" s="127"/>
      <c r="F11" s="127"/>
      <c r="G11" s="127"/>
      <c r="H11" s="127"/>
      <c r="I11" s="127"/>
      <c r="M11" s="42"/>
    </row>
    <row r="12">
      <c r="A12" s="127"/>
      <c r="B12" s="127"/>
      <c r="C12" s="127"/>
      <c r="D12" s="127"/>
      <c r="E12" s="127"/>
      <c r="F12" s="127"/>
      <c r="G12" s="127"/>
      <c r="H12" s="127"/>
      <c r="I12" s="127"/>
      <c r="M12" s="42"/>
    </row>
    <row r="13">
      <c r="A13" s="42"/>
      <c r="B13" s="42"/>
      <c r="C13" s="42"/>
      <c r="D13" s="42"/>
      <c r="E13" s="42"/>
      <c r="F13" s="42"/>
      <c r="G13" s="42"/>
      <c r="H13" s="42"/>
      <c r="I13" s="42"/>
      <c r="M13" s="42"/>
    </row>
    <row r="14">
      <c r="A14" s="42"/>
      <c r="B14" s="42"/>
      <c r="C14" s="42"/>
      <c r="D14" s="42"/>
      <c r="E14" s="42"/>
      <c r="F14" s="42"/>
      <c r="G14" s="42"/>
      <c r="H14" s="42"/>
      <c r="I14" s="42"/>
      <c r="M14" s="42"/>
    </row>
    <row r="15">
      <c r="A15" s="42"/>
      <c r="B15" s="42"/>
      <c r="C15" s="42"/>
      <c r="D15" s="42"/>
      <c r="E15" s="42"/>
      <c r="F15" s="42"/>
      <c r="G15" s="42"/>
      <c r="H15" s="42"/>
      <c r="I15" s="42"/>
      <c r="M15" s="42"/>
    </row>
    <row r="16">
      <c r="A16" s="42"/>
      <c r="B16" s="42"/>
      <c r="C16" s="42"/>
      <c r="D16" s="42"/>
      <c r="E16" s="42"/>
      <c r="F16" s="42"/>
      <c r="G16" s="42"/>
      <c r="H16" s="42"/>
      <c r="I16" s="42"/>
      <c r="M16" s="42"/>
    </row>
    <row r="17">
      <c r="A17" s="42"/>
      <c r="B17" s="42"/>
      <c r="C17" s="42"/>
      <c r="D17" s="42"/>
      <c r="E17" s="42"/>
      <c r="F17" s="42"/>
      <c r="G17" s="42"/>
      <c r="H17" s="42"/>
      <c r="I17" s="42"/>
      <c r="M17" s="42"/>
    </row>
    <row r="18">
      <c r="A18" s="42"/>
      <c r="B18" s="42"/>
      <c r="C18" s="42"/>
      <c r="D18" s="42"/>
      <c r="E18" s="42"/>
      <c r="F18" s="42"/>
      <c r="G18" s="42"/>
      <c r="H18" s="42"/>
      <c r="I18" s="42"/>
      <c r="M18" s="42"/>
    </row>
    <row r="19">
      <c r="A19" s="42"/>
      <c r="B19" s="42"/>
      <c r="C19" s="42"/>
      <c r="D19" s="42"/>
      <c r="E19" s="42"/>
      <c r="F19" s="42"/>
      <c r="G19" s="42"/>
      <c r="H19" s="42"/>
      <c r="I19" s="42"/>
      <c r="M19" s="42"/>
    </row>
    <row r="20">
      <c r="A20" s="42"/>
      <c r="B20" s="42"/>
      <c r="C20" s="42"/>
      <c r="D20" s="42"/>
      <c r="E20" s="42"/>
      <c r="F20" s="42"/>
      <c r="G20" s="42"/>
      <c r="H20" s="42"/>
      <c r="I20" s="42"/>
      <c r="M20" s="42"/>
    </row>
    <row r="21">
      <c r="A21" s="42"/>
      <c r="B21" s="42"/>
      <c r="C21" s="42"/>
      <c r="D21" s="42"/>
      <c r="E21" s="42"/>
      <c r="F21" s="42"/>
      <c r="G21" s="42"/>
      <c r="H21" s="42"/>
      <c r="I21" s="42"/>
      <c r="M21" s="42"/>
    </row>
    <row r="22">
      <c r="A22" s="42"/>
      <c r="B22" s="42"/>
      <c r="C22" s="42"/>
      <c r="D22" s="42"/>
      <c r="E22" s="42"/>
      <c r="F22" s="42"/>
      <c r="G22" s="42"/>
      <c r="H22" s="42"/>
      <c r="I22" s="42"/>
      <c r="M22" s="42"/>
    </row>
    <row r="23">
      <c r="A23" s="42"/>
      <c r="B23" s="42"/>
      <c r="C23" s="42"/>
      <c r="D23" s="42"/>
      <c r="E23" s="42"/>
      <c r="F23" s="42"/>
      <c r="G23" s="42"/>
      <c r="H23" s="42"/>
      <c r="I23" s="42"/>
      <c r="M23" s="42"/>
    </row>
    <row r="24">
      <c r="A24" s="42"/>
      <c r="B24" s="42"/>
      <c r="C24" s="42"/>
      <c r="D24" s="42"/>
      <c r="E24" s="42"/>
      <c r="F24" s="42"/>
      <c r="G24" s="42"/>
      <c r="H24" s="42"/>
      <c r="I24" s="42"/>
      <c r="M24" s="42"/>
    </row>
    <row r="25">
      <c r="A25" s="42"/>
      <c r="B25" s="42"/>
      <c r="C25" s="42"/>
      <c r="D25" s="42"/>
      <c r="E25" s="42"/>
      <c r="F25" s="42"/>
      <c r="G25" s="42"/>
      <c r="H25" s="42"/>
      <c r="I25" s="42"/>
      <c r="M25" s="42"/>
    </row>
    <row r="26">
      <c r="A26" s="42"/>
      <c r="B26" s="42"/>
      <c r="C26" s="42"/>
      <c r="D26" s="42"/>
      <c r="E26" s="42"/>
      <c r="F26" s="42"/>
      <c r="G26" s="42"/>
      <c r="H26" s="42"/>
      <c r="I26" s="42"/>
      <c r="M26" s="42"/>
    </row>
    <row r="27">
      <c r="A27" s="42"/>
      <c r="B27" s="42"/>
      <c r="C27" s="42"/>
      <c r="D27" s="42"/>
      <c r="E27" s="42"/>
      <c r="F27" s="42"/>
      <c r="G27" s="42"/>
      <c r="H27" s="42"/>
      <c r="I27" s="42"/>
      <c r="M27" s="42"/>
    </row>
    <row r="28">
      <c r="A28" s="42"/>
      <c r="B28" s="42"/>
      <c r="C28" s="42"/>
      <c r="D28" s="42"/>
      <c r="E28" s="42"/>
      <c r="F28" s="42"/>
      <c r="G28" s="42"/>
      <c r="H28" s="42"/>
      <c r="I28" s="42"/>
      <c r="M28" s="42"/>
    </row>
    <row r="29">
      <c r="A29" s="42"/>
      <c r="B29" s="42"/>
      <c r="C29" s="42"/>
      <c r="D29" s="42"/>
      <c r="E29" s="42"/>
      <c r="F29" s="42"/>
      <c r="G29" s="42"/>
      <c r="H29" s="42"/>
      <c r="I29" s="42"/>
      <c r="M29" s="42"/>
    </row>
    <row r="30">
      <c r="A30" s="42"/>
      <c r="B30" s="42"/>
      <c r="C30" s="42"/>
      <c r="D30" s="42"/>
      <c r="E30" s="42"/>
      <c r="F30" s="42"/>
      <c r="G30" s="42"/>
      <c r="H30" s="42"/>
      <c r="I30" s="42"/>
      <c r="M30" s="42"/>
    </row>
    <row r="31">
      <c r="A31" s="42"/>
      <c r="B31" s="42"/>
      <c r="C31" s="42"/>
      <c r="D31" s="42"/>
      <c r="E31" s="42"/>
      <c r="F31" s="42"/>
      <c r="G31" s="42"/>
      <c r="H31" s="42"/>
      <c r="I31" s="42"/>
      <c r="M31" s="42"/>
    </row>
    <row r="32">
      <c r="A32" s="42"/>
      <c r="B32" s="42"/>
      <c r="C32" s="42"/>
      <c r="D32" s="42"/>
      <c r="E32" s="42"/>
      <c r="F32" s="42"/>
      <c r="G32" s="42"/>
      <c r="H32" s="42"/>
      <c r="I32" s="42"/>
      <c r="M32" s="42"/>
    </row>
    <row r="33">
      <c r="A33" s="42"/>
      <c r="B33" s="42"/>
      <c r="C33" s="42"/>
      <c r="D33" s="42"/>
      <c r="E33" s="42"/>
      <c r="F33" s="42"/>
      <c r="G33" s="42"/>
      <c r="H33" s="42"/>
      <c r="I33" s="42"/>
      <c r="M33" s="42"/>
    </row>
    <row r="34">
      <c r="A34" s="42"/>
      <c r="B34" s="42"/>
      <c r="C34" s="42"/>
      <c r="D34" s="42"/>
      <c r="E34" s="42"/>
      <c r="F34" s="42"/>
      <c r="G34" s="42"/>
      <c r="H34" s="42"/>
      <c r="I34" s="42"/>
      <c r="M34" s="42"/>
    </row>
    <row r="35">
      <c r="A35" s="42"/>
      <c r="B35" s="42"/>
      <c r="C35" s="42"/>
      <c r="D35" s="42"/>
      <c r="E35" s="42"/>
      <c r="F35" s="42"/>
      <c r="G35" s="42"/>
      <c r="H35" s="42"/>
      <c r="I35" s="42"/>
      <c r="M35" s="42"/>
    </row>
    <row r="36">
      <c r="A36" s="42"/>
      <c r="B36" s="42"/>
      <c r="C36" s="42"/>
      <c r="D36" s="42"/>
      <c r="E36" s="42"/>
      <c r="F36" s="42"/>
      <c r="G36" s="42"/>
      <c r="H36" s="42"/>
      <c r="I36" s="42"/>
      <c r="M36" s="42"/>
    </row>
    <row r="37">
      <c r="A37" s="42"/>
      <c r="B37" s="42"/>
      <c r="C37" s="42"/>
      <c r="D37" s="42"/>
      <c r="E37" s="42"/>
      <c r="F37" s="42"/>
      <c r="G37" s="42"/>
      <c r="H37" s="42"/>
      <c r="I37" s="42"/>
      <c r="M37" s="42"/>
    </row>
    <row r="38">
      <c r="A38" s="42"/>
      <c r="B38" s="42"/>
      <c r="C38" s="42"/>
      <c r="D38" s="42"/>
      <c r="E38" s="42"/>
      <c r="F38" s="42"/>
      <c r="G38" s="42"/>
      <c r="H38" s="42"/>
      <c r="I38" s="42"/>
      <c r="M38" s="42"/>
    </row>
    <row r="39">
      <c r="A39" s="42"/>
      <c r="B39" s="42"/>
      <c r="C39" s="42"/>
      <c r="D39" s="42"/>
      <c r="E39" s="42"/>
      <c r="F39" s="42"/>
      <c r="G39" s="42"/>
      <c r="H39" s="42"/>
      <c r="I39" s="42"/>
      <c r="M39" s="42"/>
    </row>
    <row r="40">
      <c r="A40" s="42"/>
      <c r="B40" s="42"/>
      <c r="C40" s="42"/>
      <c r="D40" s="42"/>
      <c r="E40" s="42"/>
      <c r="F40" s="42"/>
      <c r="G40" s="42"/>
      <c r="H40" s="42"/>
      <c r="I40" s="42"/>
      <c r="M40" s="42"/>
    </row>
    <row r="41">
      <c r="A41" s="42"/>
      <c r="B41" s="42"/>
      <c r="C41" s="42"/>
      <c r="D41" s="42"/>
      <c r="E41" s="42"/>
      <c r="F41" s="42"/>
      <c r="G41" s="42"/>
      <c r="H41" s="42"/>
      <c r="I41" s="42"/>
      <c r="M41" s="42"/>
    </row>
    <row r="42">
      <c r="A42" s="42"/>
      <c r="B42" s="42"/>
      <c r="C42" s="42"/>
      <c r="D42" s="42"/>
      <c r="E42" s="42"/>
      <c r="F42" s="42"/>
      <c r="G42" s="42"/>
      <c r="H42" s="42"/>
      <c r="I42" s="42"/>
      <c r="M42" s="42"/>
    </row>
    <row r="43">
      <c r="A43" s="42"/>
      <c r="B43" s="42"/>
      <c r="C43" s="42"/>
      <c r="D43" s="42"/>
      <c r="E43" s="42"/>
      <c r="F43" s="42"/>
      <c r="G43" s="42"/>
      <c r="H43" s="42"/>
      <c r="I43" s="42"/>
      <c r="M43" s="42"/>
    </row>
    <row r="44">
      <c r="A44" s="42"/>
      <c r="B44" s="42"/>
      <c r="C44" s="42"/>
      <c r="D44" s="42"/>
      <c r="E44" s="42"/>
      <c r="F44" s="42"/>
      <c r="G44" s="42"/>
      <c r="H44" s="42"/>
      <c r="I44" s="42"/>
      <c r="M44" s="42"/>
    </row>
    <row r="45">
      <c r="A45" s="42"/>
      <c r="B45" s="42"/>
      <c r="C45" s="42"/>
      <c r="D45" s="42"/>
      <c r="E45" s="42"/>
      <c r="F45" s="42"/>
      <c r="G45" s="42"/>
      <c r="H45" s="42"/>
      <c r="I45" s="42"/>
      <c r="M45" s="42"/>
    </row>
    <row r="46">
      <c r="A46" s="42"/>
      <c r="B46" s="42"/>
      <c r="C46" s="42"/>
      <c r="D46" s="42"/>
      <c r="E46" s="42"/>
      <c r="F46" s="42"/>
      <c r="G46" s="42"/>
      <c r="H46" s="42"/>
      <c r="I46" s="42"/>
      <c r="M46" s="42"/>
    </row>
    <row r="47">
      <c r="A47" s="42"/>
      <c r="B47" s="42"/>
      <c r="C47" s="42"/>
      <c r="D47" s="42"/>
      <c r="E47" s="42"/>
      <c r="F47" s="42"/>
      <c r="G47" s="42"/>
      <c r="H47" s="42"/>
      <c r="I47" s="42"/>
      <c r="M47" s="42"/>
    </row>
    <row r="48">
      <c r="A48" s="42"/>
      <c r="B48" s="42"/>
      <c r="C48" s="42"/>
      <c r="D48" s="42"/>
      <c r="E48" s="42"/>
      <c r="F48" s="42"/>
      <c r="G48" s="42"/>
      <c r="H48" s="42"/>
      <c r="I48" s="42"/>
      <c r="M48" s="42"/>
    </row>
    <row r="49">
      <c r="A49" s="42"/>
      <c r="B49" s="42"/>
      <c r="C49" s="42"/>
      <c r="D49" s="42"/>
      <c r="E49" s="42"/>
      <c r="F49" s="42"/>
      <c r="G49" s="42"/>
      <c r="H49" s="42"/>
      <c r="I49" s="42"/>
      <c r="M49" s="42"/>
    </row>
    <row r="50">
      <c r="A50" s="42"/>
      <c r="B50" s="42"/>
      <c r="C50" s="42"/>
      <c r="D50" s="42"/>
      <c r="E50" s="42"/>
      <c r="F50" s="42"/>
      <c r="G50" s="42"/>
      <c r="H50" s="42"/>
      <c r="I50" s="42"/>
      <c r="M50" s="42"/>
    </row>
    <row r="51">
      <c r="A51" s="42"/>
      <c r="B51" s="42"/>
      <c r="C51" s="42"/>
      <c r="D51" s="42"/>
      <c r="E51" s="42"/>
      <c r="F51" s="42"/>
      <c r="G51" s="42"/>
      <c r="H51" s="42"/>
      <c r="I51" s="42"/>
      <c r="M51" s="42"/>
    </row>
    <row r="52">
      <c r="A52" s="42"/>
      <c r="B52" s="42"/>
      <c r="C52" s="42"/>
      <c r="D52" s="42"/>
      <c r="E52" s="42"/>
      <c r="F52" s="42"/>
      <c r="G52" s="42"/>
      <c r="H52" s="42"/>
      <c r="I52" s="42"/>
      <c r="M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M53" s="42"/>
    </row>
    <row r="54">
      <c r="A54" s="42"/>
      <c r="B54" s="42"/>
      <c r="C54" s="42"/>
      <c r="D54" s="42"/>
      <c r="E54" s="42"/>
      <c r="F54" s="42"/>
      <c r="G54" s="42"/>
      <c r="H54" s="42"/>
      <c r="I54" s="42"/>
      <c r="M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M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M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M57" s="42"/>
    </row>
    <row r="58">
      <c r="A58" s="42"/>
      <c r="B58" s="42"/>
      <c r="C58" s="42"/>
      <c r="D58" s="42"/>
      <c r="E58" s="42"/>
      <c r="F58" s="42"/>
      <c r="G58" s="42"/>
      <c r="H58" s="42"/>
      <c r="I58" s="42"/>
      <c r="M58" s="42"/>
    </row>
    <row r="59">
      <c r="A59" s="42"/>
      <c r="B59" s="42"/>
      <c r="C59" s="42"/>
      <c r="D59" s="42"/>
      <c r="E59" s="42"/>
      <c r="F59" s="42"/>
      <c r="G59" s="42"/>
      <c r="H59" s="42"/>
      <c r="I59" s="42"/>
      <c r="M59" s="42"/>
    </row>
    <row r="60">
      <c r="A60" s="42"/>
      <c r="B60" s="42"/>
      <c r="C60" s="42"/>
      <c r="D60" s="42"/>
      <c r="E60" s="42"/>
      <c r="F60" s="42"/>
      <c r="G60" s="42"/>
      <c r="H60" s="42"/>
      <c r="I60" s="42"/>
      <c r="M60" s="42"/>
    </row>
    <row r="61">
      <c r="A61" s="42"/>
      <c r="B61" s="42"/>
      <c r="C61" s="42"/>
      <c r="D61" s="42"/>
      <c r="E61" s="42"/>
      <c r="F61" s="42"/>
      <c r="G61" s="42"/>
      <c r="H61" s="42"/>
      <c r="I61" s="42"/>
      <c r="M61" s="42"/>
    </row>
    <row r="62">
      <c r="A62" s="42"/>
      <c r="B62" s="42"/>
      <c r="C62" s="42"/>
      <c r="D62" s="42"/>
      <c r="E62" s="42"/>
      <c r="F62" s="42"/>
      <c r="G62" s="42"/>
      <c r="H62" s="42"/>
      <c r="I62" s="42"/>
      <c r="M62" s="42"/>
    </row>
    <row r="63">
      <c r="A63" s="42"/>
      <c r="B63" s="42"/>
      <c r="C63" s="42"/>
      <c r="D63" s="42"/>
      <c r="E63" s="42"/>
      <c r="F63" s="42"/>
      <c r="G63" s="42"/>
      <c r="H63" s="42"/>
      <c r="I63" s="42"/>
      <c r="M63" s="42"/>
    </row>
    <row r="64">
      <c r="A64" s="42"/>
      <c r="B64" s="42"/>
      <c r="C64" s="42"/>
      <c r="D64" s="42"/>
      <c r="E64" s="42"/>
      <c r="F64" s="42"/>
      <c r="G64" s="42"/>
      <c r="H64" s="42"/>
      <c r="I64" s="42"/>
      <c r="M64" s="42"/>
    </row>
    <row r="65">
      <c r="A65" s="42"/>
      <c r="B65" s="42"/>
      <c r="C65" s="42"/>
      <c r="D65" s="42"/>
      <c r="E65" s="42"/>
      <c r="F65" s="42"/>
      <c r="G65" s="42"/>
      <c r="H65" s="42"/>
      <c r="I65" s="42"/>
      <c r="M65" s="42"/>
    </row>
    <row r="66">
      <c r="A66" s="42"/>
      <c r="B66" s="42"/>
      <c r="C66" s="42"/>
      <c r="D66" s="42"/>
      <c r="E66" s="42"/>
      <c r="F66" s="42"/>
      <c r="G66" s="42"/>
      <c r="H66" s="42"/>
      <c r="I66" s="42"/>
      <c r="M66" s="42"/>
    </row>
    <row r="67">
      <c r="A67" s="42"/>
      <c r="B67" s="42"/>
      <c r="C67" s="42"/>
      <c r="D67" s="42"/>
      <c r="E67" s="42"/>
      <c r="F67" s="42"/>
      <c r="G67" s="42"/>
      <c r="H67" s="42"/>
      <c r="I67" s="42"/>
      <c r="M67" s="42"/>
    </row>
    <row r="68">
      <c r="A68" s="42"/>
      <c r="B68" s="42"/>
      <c r="C68" s="42"/>
      <c r="D68" s="42"/>
      <c r="E68" s="42"/>
      <c r="F68" s="42"/>
      <c r="G68" s="42"/>
      <c r="H68" s="42"/>
      <c r="I68" s="42"/>
      <c r="M68" s="42"/>
    </row>
    <row r="69">
      <c r="A69" s="42"/>
      <c r="B69" s="42"/>
      <c r="C69" s="42"/>
      <c r="D69" s="42"/>
      <c r="E69" s="42"/>
      <c r="F69" s="42"/>
      <c r="G69" s="42"/>
      <c r="H69" s="42"/>
      <c r="I69" s="42"/>
      <c r="M69" s="42"/>
    </row>
    <row r="70">
      <c r="A70" s="42"/>
      <c r="B70" s="42"/>
      <c r="C70" s="42"/>
      <c r="D70" s="42"/>
      <c r="E70" s="42"/>
      <c r="F70" s="42"/>
      <c r="G70" s="42"/>
      <c r="H70" s="42"/>
      <c r="I70" s="42"/>
      <c r="M70" s="42"/>
    </row>
    <row r="71">
      <c r="A71" s="42"/>
      <c r="B71" s="42"/>
      <c r="C71" s="42"/>
      <c r="D71" s="42"/>
      <c r="E71" s="42"/>
      <c r="F71" s="42"/>
      <c r="G71" s="42"/>
      <c r="H71" s="42"/>
      <c r="I71" s="42"/>
      <c r="M71" s="42"/>
    </row>
    <row r="72">
      <c r="A72" s="42"/>
      <c r="B72" s="42"/>
      <c r="C72" s="42"/>
      <c r="D72" s="42"/>
      <c r="E72" s="42"/>
      <c r="F72" s="42"/>
      <c r="G72" s="42"/>
      <c r="H72" s="42"/>
      <c r="I72" s="42"/>
      <c r="M72" s="42"/>
    </row>
    <row r="73">
      <c r="A73" s="42"/>
      <c r="B73" s="42"/>
      <c r="C73" s="42"/>
      <c r="D73" s="42"/>
      <c r="E73" s="42"/>
      <c r="F73" s="42"/>
      <c r="G73" s="42"/>
      <c r="H73" s="42"/>
      <c r="I73" s="42"/>
      <c r="M73" s="42"/>
    </row>
    <row r="74">
      <c r="A74" s="42"/>
      <c r="B74" s="42"/>
      <c r="C74" s="42"/>
      <c r="D74" s="42"/>
      <c r="E74" s="42"/>
      <c r="F74" s="42"/>
      <c r="G74" s="42"/>
      <c r="H74" s="42"/>
      <c r="I74" s="42"/>
      <c r="M74" s="42"/>
    </row>
    <row r="75">
      <c r="A75" s="42"/>
      <c r="B75" s="42"/>
      <c r="C75" s="42"/>
      <c r="D75" s="42"/>
      <c r="E75" s="42"/>
      <c r="F75" s="42"/>
      <c r="G75" s="42"/>
      <c r="H75" s="42"/>
      <c r="I75" s="42"/>
      <c r="M75" s="42"/>
    </row>
    <row r="76">
      <c r="A76" s="42"/>
      <c r="B76" s="42"/>
      <c r="C76" s="42"/>
      <c r="D76" s="42"/>
      <c r="E76" s="42"/>
      <c r="F76" s="42"/>
      <c r="G76" s="42"/>
      <c r="H76" s="42"/>
      <c r="I76" s="42"/>
      <c r="M76" s="42"/>
    </row>
    <row r="77">
      <c r="A77" s="42"/>
      <c r="B77" s="42"/>
      <c r="C77" s="42"/>
      <c r="D77" s="42"/>
      <c r="E77" s="42"/>
      <c r="F77" s="42"/>
      <c r="G77" s="42"/>
      <c r="H77" s="42"/>
      <c r="I77" s="42"/>
      <c r="M77" s="42"/>
    </row>
    <row r="78">
      <c r="A78" s="42"/>
      <c r="B78" s="42"/>
      <c r="C78" s="42"/>
      <c r="D78" s="42"/>
      <c r="E78" s="42"/>
      <c r="F78" s="42"/>
      <c r="G78" s="42"/>
      <c r="H78" s="42"/>
      <c r="I78" s="42"/>
      <c r="M78" s="42"/>
    </row>
    <row r="79">
      <c r="A79" s="42"/>
      <c r="B79" s="42"/>
      <c r="C79" s="42"/>
      <c r="D79" s="42"/>
      <c r="E79" s="42"/>
      <c r="F79" s="42"/>
      <c r="G79" s="42"/>
      <c r="H79" s="42"/>
      <c r="I79" s="42"/>
      <c r="M79" s="42"/>
    </row>
    <row r="80">
      <c r="A80" s="42"/>
      <c r="B80" s="42"/>
      <c r="C80" s="42"/>
      <c r="D80" s="42"/>
      <c r="E80" s="42"/>
      <c r="F80" s="42"/>
      <c r="G80" s="42"/>
      <c r="H80" s="42"/>
      <c r="I80" s="42"/>
      <c r="M80" s="42"/>
    </row>
    <row r="81">
      <c r="A81" s="42"/>
      <c r="B81" s="42"/>
      <c r="C81" s="42"/>
      <c r="D81" s="42"/>
      <c r="E81" s="42"/>
      <c r="F81" s="42"/>
      <c r="G81" s="42"/>
      <c r="H81" s="42"/>
      <c r="I81" s="42"/>
      <c r="M81" s="42"/>
    </row>
    <row r="82">
      <c r="A82" s="42"/>
      <c r="B82" s="42"/>
      <c r="C82" s="42"/>
      <c r="D82" s="42"/>
      <c r="E82" s="42"/>
      <c r="F82" s="42"/>
      <c r="G82" s="42"/>
      <c r="H82" s="42"/>
      <c r="I82" s="42"/>
      <c r="M82" s="42"/>
    </row>
    <row r="83">
      <c r="A83" s="42"/>
      <c r="B83" s="42"/>
      <c r="C83" s="42"/>
      <c r="D83" s="42"/>
      <c r="E83" s="42"/>
      <c r="F83" s="42"/>
      <c r="G83" s="42"/>
      <c r="H83" s="42"/>
      <c r="I83" s="42"/>
      <c r="M83" s="42"/>
    </row>
    <row r="84">
      <c r="A84" s="42"/>
      <c r="B84" s="42"/>
      <c r="C84" s="42"/>
      <c r="D84" s="42"/>
      <c r="E84" s="42"/>
      <c r="F84" s="42"/>
      <c r="G84" s="42"/>
      <c r="H84" s="42"/>
      <c r="I84" s="42"/>
      <c r="M84" s="42"/>
    </row>
    <row r="85">
      <c r="A85" s="42"/>
      <c r="B85" s="42"/>
      <c r="C85" s="42"/>
      <c r="D85" s="42"/>
      <c r="E85" s="42"/>
      <c r="F85" s="42"/>
      <c r="G85" s="42"/>
      <c r="H85" s="42"/>
      <c r="I85" s="42"/>
      <c r="M85" s="42"/>
    </row>
    <row r="86">
      <c r="A86" s="42"/>
      <c r="B86" s="42"/>
      <c r="C86" s="42"/>
      <c r="D86" s="42"/>
      <c r="E86" s="42"/>
      <c r="F86" s="42"/>
      <c r="G86" s="42"/>
      <c r="H86" s="42"/>
      <c r="I86" s="42"/>
      <c r="M86" s="42"/>
    </row>
    <row r="87">
      <c r="A87" s="42"/>
      <c r="B87" s="42"/>
      <c r="C87" s="42"/>
      <c r="D87" s="42"/>
      <c r="E87" s="42"/>
      <c r="F87" s="42"/>
      <c r="G87" s="42"/>
      <c r="H87" s="42"/>
      <c r="I87" s="42"/>
      <c r="M87" s="42"/>
    </row>
    <row r="88">
      <c r="A88" s="42"/>
      <c r="B88" s="42"/>
      <c r="C88" s="42"/>
      <c r="D88" s="42"/>
      <c r="E88" s="42"/>
      <c r="F88" s="42"/>
      <c r="G88" s="42"/>
      <c r="H88" s="42"/>
      <c r="I88" s="42"/>
      <c r="M88" s="42"/>
    </row>
    <row r="89">
      <c r="A89" s="42"/>
      <c r="B89" s="42"/>
      <c r="C89" s="42"/>
      <c r="D89" s="42"/>
      <c r="E89" s="42"/>
      <c r="F89" s="42"/>
      <c r="G89" s="42"/>
      <c r="H89" s="42"/>
      <c r="I89" s="42"/>
      <c r="M89" s="42"/>
    </row>
    <row r="90">
      <c r="A90" s="42"/>
      <c r="B90" s="42"/>
      <c r="C90" s="42"/>
      <c r="D90" s="42"/>
      <c r="E90" s="42"/>
      <c r="F90" s="42"/>
      <c r="G90" s="42"/>
      <c r="H90" s="42"/>
      <c r="I90" s="42"/>
      <c r="M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M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M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M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M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M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M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M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M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M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M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M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M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M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M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M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M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M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M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M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M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M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M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M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M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M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M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M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M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M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M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M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M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M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M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M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M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M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M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M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M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M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M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M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M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M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M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M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M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M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M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M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M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M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M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M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M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M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M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M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M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M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M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M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M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M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M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M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M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M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M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M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M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M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M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M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M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M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M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M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M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M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M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M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M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M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M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M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M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M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M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M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M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M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M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M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M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M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M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M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M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M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M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M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M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M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M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M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M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M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M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M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M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M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M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M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M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M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M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M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M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M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M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M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M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M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M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M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M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M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M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M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M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M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M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M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M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M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M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M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M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M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M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M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M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M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M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M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M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M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M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M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M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M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M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M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M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M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M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M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M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M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M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M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M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M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M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M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M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M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M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M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M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M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M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M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M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M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M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M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M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M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M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M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M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M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M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M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M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M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M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M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M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M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M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M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M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M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M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M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M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M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M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M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M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M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M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M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M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M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M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M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M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M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M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M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M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M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M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M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M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M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M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M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M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M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M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M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M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M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M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M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M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M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M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M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M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M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M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M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M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M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M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M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M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M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M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M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M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M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M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M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M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M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M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M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M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M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M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M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M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M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M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M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M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M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M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M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M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M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M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M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M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M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M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M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M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M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M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M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M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M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M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M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M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M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M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M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M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M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M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M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M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M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M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M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M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M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M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M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M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M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M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M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M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M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M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M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M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M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M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M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M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M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M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M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M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M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M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M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M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M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M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M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M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M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M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M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M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M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M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M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M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M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M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M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M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M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M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M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M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M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M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M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M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M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M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M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M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M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M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M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M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M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M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M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M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M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M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M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M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M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M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M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M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M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M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M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M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M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M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M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M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M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M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M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M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M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M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M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M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M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M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M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M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M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M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M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M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M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M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M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M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M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M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M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M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M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M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M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M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M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M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M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M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M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M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M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M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M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M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M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M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M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M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M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M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M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M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M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M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M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M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M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M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M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M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M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M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M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M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M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M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M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M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M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M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M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M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M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M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M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M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M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M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M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M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M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M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M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M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M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M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M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M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M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M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M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M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M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M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M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M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M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M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M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M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M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M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M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M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M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M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M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M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M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M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M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M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M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M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M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M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M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M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M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M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M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M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M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M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M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M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M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M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M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M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M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M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M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M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M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M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M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M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M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M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M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M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M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M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M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M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M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M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M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M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M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M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M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M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M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M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M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M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M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M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M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M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M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M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M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M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M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M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M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M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M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M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M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M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M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M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M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M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M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M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M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M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M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M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M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M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M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M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M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M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M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M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M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M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M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M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M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M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M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M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M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M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M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M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M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M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M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M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M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M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M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M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M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M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M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M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M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M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M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M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M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M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M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M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M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M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M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M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M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M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M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M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M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M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M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M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M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M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M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M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M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M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M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M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M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M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M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M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M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M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M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M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M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M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M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M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M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M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M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M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M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M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M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M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M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M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M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M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M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M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M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M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M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M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M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M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M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M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M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M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M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M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M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M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M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M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M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M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M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M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M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M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M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M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M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M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M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M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M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M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M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M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M759" s="42"/>
    </row>
    <row r="760">
      <c r="A760" s="42"/>
      <c r="B760" s="42"/>
      <c r="C760" s="42"/>
      <c r="D760" s="42"/>
      <c r="E760" s="42"/>
      <c r="F760" s="42"/>
      <c r="G760" s="42"/>
      <c r="H760" s="42"/>
      <c r="I760" s="42"/>
      <c r="M760" s="42"/>
    </row>
    <row r="761">
      <c r="A761" s="42"/>
      <c r="B761" s="42"/>
      <c r="C761" s="42"/>
      <c r="D761" s="42"/>
      <c r="E761" s="42"/>
      <c r="F761" s="42"/>
      <c r="G761" s="42"/>
      <c r="H761" s="42"/>
      <c r="I761" s="42"/>
      <c r="M761" s="42"/>
    </row>
    <row r="762">
      <c r="A762" s="42"/>
      <c r="B762" s="42"/>
      <c r="C762" s="42"/>
      <c r="D762" s="42"/>
      <c r="E762" s="42"/>
      <c r="F762" s="42"/>
      <c r="G762" s="42"/>
      <c r="H762" s="42"/>
      <c r="I762" s="42"/>
      <c r="M762" s="42"/>
    </row>
    <row r="763">
      <c r="A763" s="42"/>
      <c r="B763" s="42"/>
      <c r="C763" s="42"/>
      <c r="D763" s="42"/>
      <c r="E763" s="42"/>
      <c r="F763" s="42"/>
      <c r="G763" s="42"/>
      <c r="H763" s="42"/>
      <c r="I763" s="42"/>
      <c r="M763" s="42"/>
    </row>
    <row r="764">
      <c r="A764" s="42"/>
      <c r="B764" s="42"/>
      <c r="C764" s="42"/>
      <c r="D764" s="42"/>
      <c r="E764" s="42"/>
      <c r="F764" s="42"/>
      <c r="G764" s="42"/>
      <c r="H764" s="42"/>
      <c r="I764" s="42"/>
      <c r="M764" s="42"/>
    </row>
    <row r="765">
      <c r="A765" s="42"/>
      <c r="B765" s="42"/>
      <c r="C765" s="42"/>
      <c r="D765" s="42"/>
      <c r="E765" s="42"/>
      <c r="F765" s="42"/>
      <c r="G765" s="42"/>
      <c r="H765" s="42"/>
      <c r="I765" s="42"/>
      <c r="M765" s="42"/>
    </row>
    <row r="766">
      <c r="A766" s="42"/>
      <c r="B766" s="42"/>
      <c r="C766" s="42"/>
      <c r="D766" s="42"/>
      <c r="E766" s="42"/>
      <c r="F766" s="42"/>
      <c r="G766" s="42"/>
      <c r="H766" s="42"/>
      <c r="I766" s="42"/>
      <c r="M766" s="42"/>
    </row>
    <row r="767">
      <c r="A767" s="42"/>
      <c r="B767" s="42"/>
      <c r="C767" s="42"/>
      <c r="D767" s="42"/>
      <c r="E767" s="42"/>
      <c r="F767" s="42"/>
      <c r="G767" s="42"/>
      <c r="H767" s="42"/>
      <c r="I767" s="42"/>
      <c r="M767" s="42"/>
    </row>
    <row r="768">
      <c r="A768" s="42"/>
      <c r="B768" s="42"/>
      <c r="C768" s="42"/>
      <c r="D768" s="42"/>
      <c r="E768" s="42"/>
      <c r="F768" s="42"/>
      <c r="G768" s="42"/>
      <c r="H768" s="42"/>
      <c r="I768" s="42"/>
      <c r="M768" s="42"/>
    </row>
    <row r="769">
      <c r="A769" s="42"/>
      <c r="B769" s="42"/>
      <c r="C769" s="42"/>
      <c r="D769" s="42"/>
      <c r="E769" s="42"/>
      <c r="F769" s="42"/>
      <c r="G769" s="42"/>
      <c r="H769" s="42"/>
      <c r="I769" s="42"/>
      <c r="M769" s="42"/>
    </row>
    <row r="770">
      <c r="A770" s="42"/>
      <c r="B770" s="42"/>
      <c r="C770" s="42"/>
      <c r="D770" s="42"/>
      <c r="E770" s="42"/>
      <c r="F770" s="42"/>
      <c r="G770" s="42"/>
      <c r="H770" s="42"/>
      <c r="I770" s="42"/>
      <c r="M770" s="42"/>
    </row>
    <row r="771">
      <c r="A771" s="42"/>
      <c r="B771" s="42"/>
      <c r="C771" s="42"/>
      <c r="D771" s="42"/>
      <c r="E771" s="42"/>
      <c r="F771" s="42"/>
      <c r="G771" s="42"/>
      <c r="H771" s="42"/>
      <c r="I771" s="42"/>
      <c r="M771" s="42"/>
    </row>
    <row r="772">
      <c r="A772" s="42"/>
      <c r="B772" s="42"/>
      <c r="C772" s="42"/>
      <c r="D772" s="42"/>
      <c r="E772" s="42"/>
      <c r="F772" s="42"/>
      <c r="G772" s="42"/>
      <c r="H772" s="42"/>
      <c r="I772" s="42"/>
      <c r="M772" s="42"/>
    </row>
    <row r="773">
      <c r="A773" s="42"/>
      <c r="B773" s="42"/>
      <c r="C773" s="42"/>
      <c r="D773" s="42"/>
      <c r="E773" s="42"/>
      <c r="F773" s="42"/>
      <c r="G773" s="42"/>
      <c r="H773" s="42"/>
      <c r="I773" s="42"/>
      <c r="M773" s="42"/>
    </row>
    <row r="774">
      <c r="A774" s="42"/>
      <c r="B774" s="42"/>
      <c r="C774" s="42"/>
      <c r="D774" s="42"/>
      <c r="E774" s="42"/>
      <c r="F774" s="42"/>
      <c r="G774" s="42"/>
      <c r="H774" s="42"/>
      <c r="I774" s="42"/>
      <c r="M774" s="42"/>
    </row>
    <row r="775">
      <c r="A775" s="42"/>
      <c r="B775" s="42"/>
      <c r="C775" s="42"/>
      <c r="D775" s="42"/>
      <c r="E775" s="42"/>
      <c r="F775" s="42"/>
      <c r="G775" s="42"/>
      <c r="H775" s="42"/>
      <c r="I775" s="42"/>
      <c r="M775" s="42"/>
    </row>
    <row r="776">
      <c r="A776" s="42"/>
      <c r="B776" s="42"/>
      <c r="C776" s="42"/>
      <c r="D776" s="42"/>
      <c r="E776" s="42"/>
      <c r="F776" s="42"/>
      <c r="G776" s="42"/>
      <c r="H776" s="42"/>
      <c r="I776" s="42"/>
      <c r="M776" s="42"/>
    </row>
    <row r="777">
      <c r="A777" s="42"/>
      <c r="B777" s="42"/>
      <c r="C777" s="42"/>
      <c r="D777" s="42"/>
      <c r="E777" s="42"/>
      <c r="F777" s="42"/>
      <c r="G777" s="42"/>
      <c r="H777" s="42"/>
      <c r="I777" s="42"/>
      <c r="M777" s="42"/>
    </row>
    <row r="778">
      <c r="A778" s="42"/>
      <c r="B778" s="42"/>
      <c r="C778" s="42"/>
      <c r="D778" s="42"/>
      <c r="E778" s="42"/>
      <c r="F778" s="42"/>
      <c r="G778" s="42"/>
      <c r="H778" s="42"/>
      <c r="I778" s="42"/>
      <c r="M778" s="42"/>
    </row>
    <row r="779">
      <c r="A779" s="42"/>
      <c r="B779" s="42"/>
      <c r="C779" s="42"/>
      <c r="D779" s="42"/>
      <c r="E779" s="42"/>
      <c r="F779" s="42"/>
      <c r="G779" s="42"/>
      <c r="H779" s="42"/>
      <c r="I779" s="42"/>
      <c r="M779" s="42"/>
    </row>
    <row r="780">
      <c r="A780" s="42"/>
      <c r="B780" s="42"/>
      <c r="C780" s="42"/>
      <c r="D780" s="42"/>
      <c r="E780" s="42"/>
      <c r="F780" s="42"/>
      <c r="G780" s="42"/>
      <c r="H780" s="42"/>
      <c r="I780" s="42"/>
      <c r="M780" s="42"/>
    </row>
    <row r="781">
      <c r="A781" s="42"/>
      <c r="B781" s="42"/>
      <c r="C781" s="42"/>
      <c r="D781" s="42"/>
      <c r="E781" s="42"/>
      <c r="F781" s="42"/>
      <c r="G781" s="42"/>
      <c r="H781" s="42"/>
      <c r="I781" s="42"/>
      <c r="M781" s="42"/>
    </row>
    <row r="782">
      <c r="A782" s="42"/>
      <c r="B782" s="42"/>
      <c r="C782" s="42"/>
      <c r="D782" s="42"/>
      <c r="E782" s="42"/>
      <c r="F782" s="42"/>
      <c r="G782" s="42"/>
      <c r="H782" s="42"/>
      <c r="I782" s="42"/>
      <c r="M782" s="42"/>
    </row>
    <row r="783">
      <c r="A783" s="42"/>
      <c r="B783" s="42"/>
      <c r="C783" s="42"/>
      <c r="D783" s="42"/>
      <c r="E783" s="42"/>
      <c r="F783" s="42"/>
      <c r="G783" s="42"/>
      <c r="H783" s="42"/>
      <c r="I783" s="42"/>
      <c r="M783" s="42"/>
    </row>
    <row r="784">
      <c r="A784" s="42"/>
      <c r="B784" s="42"/>
      <c r="C784" s="42"/>
      <c r="D784" s="42"/>
      <c r="E784" s="42"/>
      <c r="F784" s="42"/>
      <c r="G784" s="42"/>
      <c r="H784" s="42"/>
      <c r="I784" s="42"/>
      <c r="M784" s="42"/>
    </row>
    <row r="785">
      <c r="A785" s="42"/>
      <c r="B785" s="42"/>
      <c r="C785" s="42"/>
      <c r="D785" s="42"/>
      <c r="E785" s="42"/>
      <c r="F785" s="42"/>
      <c r="G785" s="42"/>
      <c r="H785" s="42"/>
      <c r="I785" s="42"/>
      <c r="M785" s="42"/>
    </row>
    <row r="786">
      <c r="A786" s="42"/>
      <c r="B786" s="42"/>
      <c r="C786" s="42"/>
      <c r="D786" s="42"/>
      <c r="E786" s="42"/>
      <c r="F786" s="42"/>
      <c r="G786" s="42"/>
      <c r="H786" s="42"/>
      <c r="I786" s="42"/>
      <c r="M786" s="42"/>
    </row>
    <row r="787">
      <c r="A787" s="42"/>
      <c r="B787" s="42"/>
      <c r="C787" s="42"/>
      <c r="D787" s="42"/>
      <c r="E787" s="42"/>
      <c r="F787" s="42"/>
      <c r="G787" s="42"/>
      <c r="H787" s="42"/>
      <c r="I787" s="42"/>
      <c r="M787" s="42"/>
    </row>
    <row r="788">
      <c r="A788" s="42"/>
      <c r="B788" s="42"/>
      <c r="C788" s="42"/>
      <c r="D788" s="42"/>
      <c r="E788" s="42"/>
      <c r="F788" s="42"/>
      <c r="G788" s="42"/>
      <c r="H788" s="42"/>
      <c r="I788" s="42"/>
      <c r="M788" s="42"/>
    </row>
    <row r="789">
      <c r="A789" s="42"/>
      <c r="B789" s="42"/>
      <c r="C789" s="42"/>
      <c r="D789" s="42"/>
      <c r="E789" s="42"/>
      <c r="F789" s="42"/>
      <c r="G789" s="42"/>
      <c r="H789" s="42"/>
      <c r="I789" s="42"/>
      <c r="M789" s="42"/>
    </row>
    <row r="790">
      <c r="A790" s="42"/>
      <c r="B790" s="42"/>
      <c r="C790" s="42"/>
      <c r="D790" s="42"/>
      <c r="E790" s="42"/>
      <c r="F790" s="42"/>
      <c r="G790" s="42"/>
      <c r="H790" s="42"/>
      <c r="I790" s="42"/>
      <c r="M790" s="42"/>
    </row>
    <row r="791">
      <c r="A791" s="42"/>
      <c r="B791" s="42"/>
      <c r="C791" s="42"/>
      <c r="D791" s="42"/>
      <c r="E791" s="42"/>
      <c r="F791" s="42"/>
      <c r="G791" s="42"/>
      <c r="H791" s="42"/>
      <c r="I791" s="42"/>
      <c r="M791" s="42"/>
    </row>
    <row r="792">
      <c r="A792" s="42"/>
      <c r="B792" s="42"/>
      <c r="C792" s="42"/>
      <c r="D792" s="42"/>
      <c r="E792" s="42"/>
      <c r="F792" s="42"/>
      <c r="G792" s="42"/>
      <c r="H792" s="42"/>
      <c r="I792" s="42"/>
      <c r="M792" s="42"/>
    </row>
    <row r="793">
      <c r="A793" s="42"/>
      <c r="B793" s="42"/>
      <c r="C793" s="42"/>
      <c r="D793" s="42"/>
      <c r="E793" s="42"/>
      <c r="F793" s="42"/>
      <c r="G793" s="42"/>
      <c r="H793" s="42"/>
      <c r="I793" s="42"/>
      <c r="M793" s="42"/>
    </row>
    <row r="794">
      <c r="A794" s="42"/>
      <c r="B794" s="42"/>
      <c r="C794" s="42"/>
      <c r="D794" s="42"/>
      <c r="E794" s="42"/>
      <c r="F794" s="42"/>
      <c r="G794" s="42"/>
      <c r="H794" s="42"/>
      <c r="I794" s="42"/>
      <c r="M794" s="42"/>
    </row>
    <row r="795">
      <c r="A795" s="42"/>
      <c r="B795" s="42"/>
      <c r="C795" s="42"/>
      <c r="D795" s="42"/>
      <c r="E795" s="42"/>
      <c r="F795" s="42"/>
      <c r="G795" s="42"/>
      <c r="H795" s="42"/>
      <c r="I795" s="42"/>
      <c r="M795" s="42"/>
    </row>
    <row r="796">
      <c r="A796" s="42"/>
      <c r="B796" s="42"/>
      <c r="C796" s="42"/>
      <c r="D796" s="42"/>
      <c r="E796" s="42"/>
      <c r="F796" s="42"/>
      <c r="G796" s="42"/>
      <c r="H796" s="42"/>
      <c r="I796" s="42"/>
      <c r="M796" s="42"/>
    </row>
    <row r="797">
      <c r="A797" s="42"/>
      <c r="B797" s="42"/>
      <c r="C797" s="42"/>
      <c r="D797" s="42"/>
      <c r="E797" s="42"/>
      <c r="F797" s="42"/>
      <c r="G797" s="42"/>
      <c r="H797" s="42"/>
      <c r="I797" s="42"/>
      <c r="M797" s="42"/>
    </row>
    <row r="798">
      <c r="A798" s="42"/>
      <c r="B798" s="42"/>
      <c r="C798" s="42"/>
      <c r="D798" s="42"/>
      <c r="E798" s="42"/>
      <c r="F798" s="42"/>
      <c r="G798" s="42"/>
      <c r="H798" s="42"/>
      <c r="I798" s="42"/>
      <c r="M798" s="42"/>
    </row>
    <row r="799">
      <c r="A799" s="42"/>
      <c r="B799" s="42"/>
      <c r="C799" s="42"/>
      <c r="D799" s="42"/>
      <c r="E799" s="42"/>
      <c r="F799" s="42"/>
      <c r="G799" s="42"/>
      <c r="H799" s="42"/>
      <c r="I799" s="42"/>
      <c r="M799" s="42"/>
    </row>
    <row r="800">
      <c r="A800" s="42"/>
      <c r="B800" s="42"/>
      <c r="C800" s="42"/>
      <c r="D800" s="42"/>
      <c r="E800" s="42"/>
      <c r="F800" s="42"/>
      <c r="G800" s="42"/>
      <c r="H800" s="42"/>
      <c r="I800" s="42"/>
      <c r="M800" s="42"/>
    </row>
    <row r="801">
      <c r="A801" s="42"/>
      <c r="B801" s="42"/>
      <c r="C801" s="42"/>
      <c r="D801" s="42"/>
      <c r="E801" s="42"/>
      <c r="F801" s="42"/>
      <c r="G801" s="42"/>
      <c r="H801" s="42"/>
      <c r="I801" s="42"/>
      <c r="M801" s="42"/>
    </row>
    <row r="802">
      <c r="A802" s="42"/>
      <c r="B802" s="42"/>
      <c r="C802" s="42"/>
      <c r="D802" s="42"/>
      <c r="E802" s="42"/>
      <c r="F802" s="42"/>
      <c r="G802" s="42"/>
      <c r="H802" s="42"/>
      <c r="I802" s="42"/>
      <c r="M802" s="42"/>
    </row>
    <row r="803">
      <c r="A803" s="42"/>
      <c r="B803" s="42"/>
      <c r="C803" s="42"/>
      <c r="D803" s="42"/>
      <c r="E803" s="42"/>
      <c r="F803" s="42"/>
      <c r="G803" s="42"/>
      <c r="H803" s="42"/>
      <c r="I803" s="42"/>
      <c r="M803" s="42"/>
    </row>
    <row r="804">
      <c r="A804" s="42"/>
      <c r="B804" s="42"/>
      <c r="C804" s="42"/>
      <c r="D804" s="42"/>
      <c r="E804" s="42"/>
      <c r="F804" s="42"/>
      <c r="G804" s="42"/>
      <c r="H804" s="42"/>
      <c r="I804" s="42"/>
      <c r="M804" s="42"/>
    </row>
    <row r="805">
      <c r="A805" s="42"/>
      <c r="B805" s="42"/>
      <c r="C805" s="42"/>
      <c r="D805" s="42"/>
      <c r="E805" s="42"/>
      <c r="F805" s="42"/>
      <c r="G805" s="42"/>
      <c r="H805" s="42"/>
      <c r="I805" s="42"/>
      <c r="M805" s="42"/>
    </row>
    <row r="806">
      <c r="A806" s="42"/>
      <c r="B806" s="42"/>
      <c r="C806" s="42"/>
      <c r="D806" s="42"/>
      <c r="E806" s="42"/>
      <c r="F806" s="42"/>
      <c r="G806" s="42"/>
      <c r="H806" s="42"/>
      <c r="I806" s="42"/>
      <c r="M806" s="42"/>
    </row>
    <row r="807">
      <c r="A807" s="42"/>
      <c r="B807" s="42"/>
      <c r="C807" s="42"/>
      <c r="D807" s="42"/>
      <c r="E807" s="42"/>
      <c r="F807" s="42"/>
      <c r="G807" s="42"/>
      <c r="H807" s="42"/>
      <c r="I807" s="42"/>
      <c r="M807" s="42"/>
    </row>
    <row r="808">
      <c r="A808" s="42"/>
      <c r="B808" s="42"/>
      <c r="C808" s="42"/>
      <c r="D808" s="42"/>
      <c r="E808" s="42"/>
      <c r="F808" s="42"/>
      <c r="G808" s="42"/>
      <c r="H808" s="42"/>
      <c r="I808" s="42"/>
      <c r="M808" s="42"/>
    </row>
    <row r="809">
      <c r="A809" s="42"/>
      <c r="B809" s="42"/>
      <c r="C809" s="42"/>
      <c r="D809" s="42"/>
      <c r="E809" s="42"/>
      <c r="F809" s="42"/>
      <c r="G809" s="42"/>
      <c r="H809" s="42"/>
      <c r="I809" s="42"/>
      <c r="M809" s="42"/>
    </row>
    <row r="810">
      <c r="A810" s="42"/>
      <c r="B810" s="42"/>
      <c r="C810" s="42"/>
      <c r="D810" s="42"/>
      <c r="E810" s="42"/>
      <c r="F810" s="42"/>
      <c r="G810" s="42"/>
      <c r="H810" s="42"/>
      <c r="I810" s="42"/>
      <c r="M810" s="42"/>
    </row>
    <row r="811">
      <c r="A811" s="42"/>
      <c r="B811" s="42"/>
      <c r="C811" s="42"/>
      <c r="D811" s="42"/>
      <c r="E811" s="42"/>
      <c r="F811" s="42"/>
      <c r="G811" s="42"/>
      <c r="H811" s="42"/>
      <c r="I811" s="42"/>
      <c r="M811" s="42"/>
    </row>
    <row r="812">
      <c r="A812" s="42"/>
      <c r="B812" s="42"/>
      <c r="C812" s="42"/>
      <c r="D812" s="42"/>
      <c r="E812" s="42"/>
      <c r="F812" s="42"/>
      <c r="G812" s="42"/>
      <c r="H812" s="42"/>
      <c r="I812" s="42"/>
      <c r="M812" s="42"/>
    </row>
    <row r="813">
      <c r="A813" s="42"/>
      <c r="B813" s="42"/>
      <c r="C813" s="42"/>
      <c r="D813" s="42"/>
      <c r="E813" s="42"/>
      <c r="F813" s="42"/>
      <c r="G813" s="42"/>
      <c r="H813" s="42"/>
      <c r="I813" s="42"/>
      <c r="M813" s="42"/>
    </row>
    <row r="814">
      <c r="A814" s="42"/>
      <c r="B814" s="42"/>
      <c r="C814" s="42"/>
      <c r="D814" s="42"/>
      <c r="E814" s="42"/>
      <c r="F814" s="42"/>
      <c r="G814" s="42"/>
      <c r="H814" s="42"/>
      <c r="I814" s="42"/>
      <c r="M814" s="42"/>
    </row>
    <row r="815">
      <c r="A815" s="42"/>
      <c r="B815" s="42"/>
      <c r="C815" s="42"/>
      <c r="D815" s="42"/>
      <c r="E815" s="42"/>
      <c r="F815" s="42"/>
      <c r="G815" s="42"/>
      <c r="H815" s="42"/>
      <c r="I815" s="42"/>
      <c r="M815" s="42"/>
    </row>
    <row r="816">
      <c r="A816" s="42"/>
      <c r="B816" s="42"/>
      <c r="C816" s="42"/>
      <c r="D816" s="42"/>
      <c r="E816" s="42"/>
      <c r="F816" s="42"/>
      <c r="G816" s="42"/>
      <c r="H816" s="42"/>
      <c r="I816" s="42"/>
      <c r="M816" s="42"/>
    </row>
    <row r="817">
      <c r="A817" s="42"/>
      <c r="B817" s="42"/>
      <c r="C817" s="42"/>
      <c r="D817" s="42"/>
      <c r="E817" s="42"/>
      <c r="F817" s="42"/>
      <c r="G817" s="42"/>
      <c r="H817" s="42"/>
      <c r="I817" s="42"/>
      <c r="M817" s="42"/>
    </row>
    <row r="818">
      <c r="A818" s="42"/>
      <c r="B818" s="42"/>
      <c r="C818" s="42"/>
      <c r="D818" s="42"/>
      <c r="E818" s="42"/>
      <c r="F818" s="42"/>
      <c r="G818" s="42"/>
      <c r="H818" s="42"/>
      <c r="I818" s="42"/>
      <c r="M818" s="42"/>
    </row>
    <row r="819">
      <c r="A819" s="42"/>
      <c r="B819" s="42"/>
      <c r="C819" s="42"/>
      <c r="D819" s="42"/>
      <c r="E819" s="42"/>
      <c r="F819" s="42"/>
      <c r="G819" s="42"/>
      <c r="H819" s="42"/>
      <c r="I819" s="42"/>
      <c r="M819" s="42"/>
    </row>
    <row r="820">
      <c r="A820" s="42"/>
      <c r="B820" s="42"/>
      <c r="C820" s="42"/>
      <c r="D820" s="42"/>
      <c r="E820" s="42"/>
      <c r="F820" s="42"/>
      <c r="G820" s="42"/>
      <c r="H820" s="42"/>
      <c r="I820" s="42"/>
      <c r="M820" s="42"/>
    </row>
    <row r="821">
      <c r="A821" s="42"/>
      <c r="B821" s="42"/>
      <c r="C821" s="42"/>
      <c r="D821" s="42"/>
      <c r="E821" s="42"/>
      <c r="F821" s="42"/>
      <c r="G821" s="42"/>
      <c r="H821" s="42"/>
      <c r="I821" s="42"/>
      <c r="M821" s="42"/>
    </row>
    <row r="822">
      <c r="A822" s="42"/>
      <c r="B822" s="42"/>
      <c r="C822" s="42"/>
      <c r="D822" s="42"/>
      <c r="E822" s="42"/>
      <c r="F822" s="42"/>
      <c r="G822" s="42"/>
      <c r="H822" s="42"/>
      <c r="I822" s="42"/>
      <c r="M822" s="42"/>
    </row>
    <row r="823">
      <c r="A823" s="42"/>
      <c r="B823" s="42"/>
      <c r="C823" s="42"/>
      <c r="D823" s="42"/>
      <c r="E823" s="42"/>
      <c r="F823" s="42"/>
      <c r="G823" s="42"/>
      <c r="H823" s="42"/>
      <c r="I823" s="42"/>
      <c r="M823" s="42"/>
    </row>
    <row r="824">
      <c r="A824" s="42"/>
      <c r="B824" s="42"/>
      <c r="C824" s="42"/>
      <c r="D824" s="42"/>
      <c r="E824" s="42"/>
      <c r="F824" s="42"/>
      <c r="G824" s="42"/>
      <c r="H824" s="42"/>
      <c r="I824" s="42"/>
      <c r="M824" s="42"/>
    </row>
    <row r="825">
      <c r="A825" s="42"/>
      <c r="B825" s="42"/>
      <c r="C825" s="42"/>
      <c r="D825" s="42"/>
      <c r="E825" s="42"/>
      <c r="F825" s="42"/>
      <c r="G825" s="42"/>
      <c r="H825" s="42"/>
      <c r="I825" s="42"/>
      <c r="M825" s="42"/>
    </row>
    <row r="826">
      <c r="A826" s="42"/>
      <c r="B826" s="42"/>
      <c r="C826" s="42"/>
      <c r="D826" s="42"/>
      <c r="E826" s="42"/>
      <c r="F826" s="42"/>
      <c r="G826" s="42"/>
      <c r="H826" s="42"/>
      <c r="I826" s="42"/>
      <c r="M826" s="42"/>
    </row>
    <row r="827">
      <c r="A827" s="42"/>
      <c r="B827" s="42"/>
      <c r="C827" s="42"/>
      <c r="D827" s="42"/>
      <c r="E827" s="42"/>
      <c r="F827" s="42"/>
      <c r="G827" s="42"/>
      <c r="H827" s="42"/>
      <c r="I827" s="42"/>
      <c r="M827" s="42"/>
    </row>
    <row r="828">
      <c r="A828" s="42"/>
      <c r="B828" s="42"/>
      <c r="C828" s="42"/>
      <c r="D828" s="42"/>
      <c r="E828" s="42"/>
      <c r="F828" s="42"/>
      <c r="G828" s="42"/>
      <c r="H828" s="42"/>
      <c r="I828" s="42"/>
      <c r="M828" s="42"/>
    </row>
    <row r="829">
      <c r="A829" s="42"/>
      <c r="B829" s="42"/>
      <c r="C829" s="42"/>
      <c r="D829" s="42"/>
      <c r="E829" s="42"/>
      <c r="F829" s="42"/>
      <c r="G829" s="42"/>
      <c r="H829" s="42"/>
      <c r="I829" s="42"/>
      <c r="M829" s="42"/>
    </row>
    <row r="830">
      <c r="A830" s="42"/>
      <c r="B830" s="42"/>
      <c r="C830" s="42"/>
      <c r="D830" s="42"/>
      <c r="E830" s="42"/>
      <c r="F830" s="42"/>
      <c r="G830" s="42"/>
      <c r="H830" s="42"/>
      <c r="I830" s="42"/>
      <c r="M830" s="42"/>
    </row>
    <row r="831">
      <c r="A831" s="42"/>
      <c r="B831" s="42"/>
      <c r="C831" s="42"/>
      <c r="D831" s="42"/>
      <c r="E831" s="42"/>
      <c r="F831" s="42"/>
      <c r="G831" s="42"/>
      <c r="H831" s="42"/>
      <c r="I831" s="42"/>
      <c r="M831" s="42"/>
    </row>
    <row r="832">
      <c r="A832" s="42"/>
      <c r="B832" s="42"/>
      <c r="C832" s="42"/>
      <c r="D832" s="42"/>
      <c r="E832" s="42"/>
      <c r="F832" s="42"/>
      <c r="G832" s="42"/>
      <c r="H832" s="42"/>
      <c r="I832" s="42"/>
      <c r="M832" s="42"/>
    </row>
    <row r="833">
      <c r="A833" s="42"/>
      <c r="B833" s="42"/>
      <c r="C833" s="42"/>
      <c r="D833" s="42"/>
      <c r="E833" s="42"/>
      <c r="F833" s="42"/>
      <c r="G833" s="42"/>
      <c r="H833" s="42"/>
      <c r="I833" s="42"/>
      <c r="M833" s="42"/>
    </row>
    <row r="834">
      <c r="A834" s="42"/>
      <c r="B834" s="42"/>
      <c r="C834" s="42"/>
      <c r="D834" s="42"/>
      <c r="E834" s="42"/>
      <c r="F834" s="42"/>
      <c r="G834" s="42"/>
      <c r="H834" s="42"/>
      <c r="I834" s="42"/>
      <c r="M834" s="42"/>
    </row>
    <row r="835">
      <c r="A835" s="42"/>
      <c r="B835" s="42"/>
      <c r="C835" s="42"/>
      <c r="D835" s="42"/>
      <c r="E835" s="42"/>
      <c r="F835" s="42"/>
      <c r="G835" s="42"/>
      <c r="H835" s="42"/>
      <c r="I835" s="42"/>
      <c r="M835" s="42"/>
    </row>
    <row r="836">
      <c r="A836" s="42"/>
      <c r="B836" s="42"/>
      <c r="C836" s="42"/>
      <c r="D836" s="42"/>
      <c r="E836" s="42"/>
      <c r="F836" s="42"/>
      <c r="G836" s="42"/>
      <c r="H836" s="42"/>
      <c r="I836" s="42"/>
      <c r="M836" s="42"/>
    </row>
    <row r="837">
      <c r="A837" s="42"/>
      <c r="B837" s="42"/>
      <c r="C837" s="42"/>
      <c r="D837" s="42"/>
      <c r="E837" s="42"/>
      <c r="F837" s="42"/>
      <c r="G837" s="42"/>
      <c r="H837" s="42"/>
      <c r="I837" s="42"/>
      <c r="M837" s="42"/>
    </row>
    <row r="838">
      <c r="A838" s="42"/>
      <c r="B838" s="42"/>
      <c r="C838" s="42"/>
      <c r="D838" s="42"/>
      <c r="E838" s="42"/>
      <c r="F838" s="42"/>
      <c r="G838" s="42"/>
      <c r="H838" s="42"/>
      <c r="I838" s="42"/>
      <c r="M838" s="42"/>
    </row>
    <row r="839">
      <c r="A839" s="42"/>
      <c r="B839" s="42"/>
      <c r="C839" s="42"/>
      <c r="D839" s="42"/>
      <c r="E839" s="42"/>
      <c r="F839" s="42"/>
      <c r="G839" s="42"/>
      <c r="H839" s="42"/>
      <c r="I839" s="42"/>
      <c r="M839" s="42"/>
    </row>
    <row r="840">
      <c r="A840" s="42"/>
      <c r="B840" s="42"/>
      <c r="C840" s="42"/>
      <c r="D840" s="42"/>
      <c r="E840" s="42"/>
      <c r="F840" s="42"/>
      <c r="G840" s="42"/>
      <c r="H840" s="42"/>
      <c r="I840" s="42"/>
      <c r="M840" s="42"/>
    </row>
    <row r="841">
      <c r="A841" s="42"/>
      <c r="B841" s="42"/>
      <c r="C841" s="42"/>
      <c r="D841" s="42"/>
      <c r="E841" s="42"/>
      <c r="F841" s="42"/>
      <c r="G841" s="42"/>
      <c r="H841" s="42"/>
      <c r="I841" s="42"/>
      <c r="M841" s="42"/>
    </row>
    <row r="842">
      <c r="A842" s="42"/>
      <c r="B842" s="42"/>
      <c r="C842" s="42"/>
      <c r="D842" s="42"/>
      <c r="E842" s="42"/>
      <c r="F842" s="42"/>
      <c r="G842" s="42"/>
      <c r="H842" s="42"/>
      <c r="I842" s="42"/>
      <c r="M842" s="42"/>
    </row>
    <row r="843">
      <c r="A843" s="42"/>
      <c r="B843" s="42"/>
      <c r="C843" s="42"/>
      <c r="D843" s="42"/>
      <c r="E843" s="42"/>
      <c r="F843" s="42"/>
      <c r="G843" s="42"/>
      <c r="H843" s="42"/>
      <c r="I843" s="42"/>
      <c r="M843" s="42"/>
    </row>
    <row r="844">
      <c r="A844" s="42"/>
      <c r="B844" s="42"/>
      <c r="C844" s="42"/>
      <c r="D844" s="42"/>
      <c r="E844" s="42"/>
      <c r="F844" s="42"/>
      <c r="G844" s="42"/>
      <c r="H844" s="42"/>
      <c r="I844" s="42"/>
      <c r="M844" s="42"/>
    </row>
    <row r="845">
      <c r="A845" s="42"/>
      <c r="B845" s="42"/>
      <c r="C845" s="42"/>
      <c r="D845" s="42"/>
      <c r="E845" s="42"/>
      <c r="F845" s="42"/>
      <c r="G845" s="42"/>
      <c r="H845" s="42"/>
      <c r="I845" s="42"/>
      <c r="M845" s="42"/>
    </row>
    <row r="846">
      <c r="A846" s="42"/>
      <c r="B846" s="42"/>
      <c r="C846" s="42"/>
      <c r="D846" s="42"/>
      <c r="E846" s="42"/>
      <c r="F846" s="42"/>
      <c r="G846" s="42"/>
      <c r="H846" s="42"/>
      <c r="I846" s="42"/>
      <c r="M846" s="42"/>
    </row>
    <row r="847">
      <c r="A847" s="42"/>
      <c r="B847" s="42"/>
      <c r="C847" s="42"/>
      <c r="D847" s="42"/>
      <c r="E847" s="42"/>
      <c r="F847" s="42"/>
      <c r="G847" s="42"/>
      <c r="H847" s="42"/>
      <c r="I847" s="42"/>
      <c r="M847" s="42"/>
    </row>
    <row r="848">
      <c r="A848" s="42"/>
      <c r="B848" s="42"/>
      <c r="C848" s="42"/>
      <c r="D848" s="42"/>
      <c r="E848" s="42"/>
      <c r="F848" s="42"/>
      <c r="G848" s="42"/>
      <c r="H848" s="42"/>
      <c r="I848" s="42"/>
      <c r="M848" s="42"/>
    </row>
    <row r="849">
      <c r="A849" s="42"/>
      <c r="B849" s="42"/>
      <c r="C849" s="42"/>
      <c r="D849" s="42"/>
      <c r="E849" s="42"/>
      <c r="F849" s="42"/>
      <c r="G849" s="42"/>
      <c r="H849" s="42"/>
      <c r="I849" s="42"/>
      <c r="M849" s="42"/>
    </row>
    <row r="850">
      <c r="A850" s="42"/>
      <c r="B850" s="42"/>
      <c r="C850" s="42"/>
      <c r="D850" s="42"/>
      <c r="E850" s="42"/>
      <c r="F850" s="42"/>
      <c r="G850" s="42"/>
      <c r="H850" s="42"/>
      <c r="I850" s="42"/>
      <c r="M850" s="42"/>
    </row>
    <row r="851">
      <c r="A851" s="42"/>
      <c r="B851" s="42"/>
      <c r="C851" s="42"/>
      <c r="D851" s="42"/>
      <c r="E851" s="42"/>
      <c r="F851" s="42"/>
      <c r="G851" s="42"/>
      <c r="H851" s="42"/>
      <c r="I851" s="42"/>
      <c r="M851" s="42"/>
    </row>
    <row r="852">
      <c r="A852" s="42"/>
      <c r="B852" s="42"/>
      <c r="C852" s="42"/>
      <c r="D852" s="42"/>
      <c r="E852" s="42"/>
      <c r="F852" s="42"/>
      <c r="G852" s="42"/>
      <c r="H852" s="42"/>
      <c r="I852" s="42"/>
      <c r="M852" s="42"/>
    </row>
    <row r="853">
      <c r="A853" s="42"/>
      <c r="B853" s="42"/>
      <c r="C853" s="42"/>
      <c r="D853" s="42"/>
      <c r="E853" s="42"/>
      <c r="F853" s="42"/>
      <c r="G853" s="42"/>
      <c r="H853" s="42"/>
      <c r="I853" s="42"/>
      <c r="M853" s="42"/>
    </row>
    <row r="854">
      <c r="A854" s="42"/>
      <c r="B854" s="42"/>
      <c r="C854" s="42"/>
      <c r="D854" s="42"/>
      <c r="E854" s="42"/>
      <c r="F854" s="42"/>
      <c r="G854" s="42"/>
      <c r="H854" s="42"/>
      <c r="I854" s="42"/>
      <c r="M854" s="42"/>
    </row>
    <row r="855">
      <c r="A855" s="42"/>
      <c r="B855" s="42"/>
      <c r="C855" s="42"/>
      <c r="D855" s="42"/>
      <c r="E855" s="42"/>
      <c r="F855" s="42"/>
      <c r="G855" s="42"/>
      <c r="H855" s="42"/>
      <c r="I855" s="42"/>
      <c r="M855" s="42"/>
    </row>
    <row r="856">
      <c r="A856" s="42"/>
      <c r="B856" s="42"/>
      <c r="C856" s="42"/>
      <c r="D856" s="42"/>
      <c r="E856" s="42"/>
      <c r="F856" s="42"/>
      <c r="G856" s="42"/>
      <c r="H856" s="42"/>
      <c r="I856" s="42"/>
      <c r="M856" s="42"/>
    </row>
    <row r="857">
      <c r="A857" s="42"/>
      <c r="B857" s="42"/>
      <c r="C857" s="42"/>
      <c r="D857" s="42"/>
      <c r="E857" s="42"/>
      <c r="F857" s="42"/>
      <c r="G857" s="42"/>
      <c r="H857" s="42"/>
      <c r="I857" s="42"/>
      <c r="M857" s="42"/>
    </row>
    <row r="858">
      <c r="A858" s="42"/>
      <c r="B858" s="42"/>
      <c r="C858" s="42"/>
      <c r="D858" s="42"/>
      <c r="E858" s="42"/>
      <c r="F858" s="42"/>
      <c r="G858" s="42"/>
      <c r="H858" s="42"/>
      <c r="I858" s="42"/>
      <c r="M858" s="42"/>
    </row>
    <row r="859">
      <c r="A859" s="42"/>
      <c r="B859" s="42"/>
      <c r="C859" s="42"/>
      <c r="D859" s="42"/>
      <c r="E859" s="42"/>
      <c r="F859" s="42"/>
      <c r="G859" s="42"/>
      <c r="H859" s="42"/>
      <c r="I859" s="42"/>
      <c r="M859" s="42"/>
    </row>
    <row r="860">
      <c r="A860" s="42"/>
      <c r="B860" s="42"/>
      <c r="C860" s="42"/>
      <c r="D860" s="42"/>
      <c r="E860" s="42"/>
      <c r="F860" s="42"/>
      <c r="G860" s="42"/>
      <c r="H860" s="42"/>
      <c r="I860" s="42"/>
      <c r="M860" s="42"/>
    </row>
    <row r="861">
      <c r="A861" s="42"/>
      <c r="B861" s="42"/>
      <c r="C861" s="42"/>
      <c r="D861" s="42"/>
      <c r="E861" s="42"/>
      <c r="F861" s="42"/>
      <c r="G861" s="42"/>
      <c r="H861" s="42"/>
      <c r="I861" s="42"/>
      <c r="M861" s="42"/>
    </row>
    <row r="862">
      <c r="A862" s="42"/>
      <c r="B862" s="42"/>
      <c r="C862" s="42"/>
      <c r="D862" s="42"/>
      <c r="E862" s="42"/>
      <c r="F862" s="42"/>
      <c r="G862" s="42"/>
      <c r="H862" s="42"/>
      <c r="I862" s="42"/>
      <c r="M862" s="42"/>
    </row>
    <row r="863">
      <c r="A863" s="42"/>
      <c r="B863" s="42"/>
      <c r="C863" s="42"/>
      <c r="D863" s="42"/>
      <c r="E863" s="42"/>
      <c r="F863" s="42"/>
      <c r="G863" s="42"/>
      <c r="H863" s="42"/>
      <c r="I863" s="42"/>
      <c r="M863" s="42"/>
    </row>
    <row r="864">
      <c r="A864" s="42"/>
      <c r="B864" s="42"/>
      <c r="C864" s="42"/>
      <c r="D864" s="42"/>
      <c r="E864" s="42"/>
      <c r="F864" s="42"/>
      <c r="G864" s="42"/>
      <c r="H864" s="42"/>
      <c r="I864" s="42"/>
      <c r="M864" s="42"/>
    </row>
    <row r="865">
      <c r="A865" s="42"/>
      <c r="B865" s="42"/>
      <c r="C865" s="42"/>
      <c r="D865" s="42"/>
      <c r="E865" s="42"/>
      <c r="F865" s="42"/>
      <c r="G865" s="42"/>
      <c r="H865" s="42"/>
      <c r="I865" s="42"/>
      <c r="M865" s="42"/>
    </row>
    <row r="866">
      <c r="A866" s="42"/>
      <c r="B866" s="42"/>
      <c r="C866" s="42"/>
      <c r="D866" s="42"/>
      <c r="E866" s="42"/>
      <c r="F866" s="42"/>
      <c r="G866" s="42"/>
      <c r="H866" s="42"/>
      <c r="I866" s="42"/>
      <c r="M866" s="42"/>
    </row>
    <row r="867">
      <c r="A867" s="42"/>
      <c r="B867" s="42"/>
      <c r="C867" s="42"/>
      <c r="D867" s="42"/>
      <c r="E867" s="42"/>
      <c r="F867" s="42"/>
      <c r="G867" s="42"/>
      <c r="H867" s="42"/>
      <c r="I867" s="42"/>
      <c r="M867" s="42"/>
    </row>
    <row r="868">
      <c r="A868" s="42"/>
      <c r="B868" s="42"/>
      <c r="C868" s="42"/>
      <c r="D868" s="42"/>
      <c r="E868" s="42"/>
      <c r="F868" s="42"/>
      <c r="G868" s="42"/>
      <c r="H868" s="42"/>
      <c r="I868" s="42"/>
      <c r="M868" s="42"/>
    </row>
    <row r="869">
      <c r="A869" s="42"/>
      <c r="B869" s="42"/>
      <c r="C869" s="42"/>
      <c r="D869" s="42"/>
      <c r="E869" s="42"/>
      <c r="F869" s="42"/>
      <c r="G869" s="42"/>
      <c r="H869" s="42"/>
      <c r="I869" s="42"/>
      <c r="M869" s="42"/>
    </row>
    <row r="870">
      <c r="A870" s="42"/>
      <c r="B870" s="42"/>
      <c r="C870" s="42"/>
      <c r="D870" s="42"/>
      <c r="E870" s="42"/>
      <c r="F870" s="42"/>
      <c r="G870" s="42"/>
      <c r="H870" s="42"/>
      <c r="I870" s="42"/>
      <c r="M870" s="42"/>
    </row>
    <row r="871">
      <c r="A871" s="42"/>
      <c r="B871" s="42"/>
      <c r="C871" s="42"/>
      <c r="D871" s="42"/>
      <c r="E871" s="42"/>
      <c r="F871" s="42"/>
      <c r="G871" s="42"/>
      <c r="H871" s="42"/>
      <c r="I871" s="42"/>
      <c r="M871" s="42"/>
    </row>
    <row r="872">
      <c r="A872" s="42"/>
      <c r="B872" s="42"/>
      <c r="C872" s="42"/>
      <c r="D872" s="42"/>
      <c r="E872" s="42"/>
      <c r="F872" s="42"/>
      <c r="G872" s="42"/>
      <c r="H872" s="42"/>
      <c r="I872" s="42"/>
      <c r="M872" s="42"/>
    </row>
    <row r="873">
      <c r="A873" s="42"/>
      <c r="B873" s="42"/>
      <c r="C873" s="42"/>
      <c r="D873" s="42"/>
      <c r="E873" s="42"/>
      <c r="F873" s="42"/>
      <c r="G873" s="42"/>
      <c r="H873" s="42"/>
      <c r="I873" s="42"/>
      <c r="M873" s="42"/>
    </row>
    <row r="874">
      <c r="A874" s="42"/>
      <c r="B874" s="42"/>
      <c r="C874" s="42"/>
      <c r="D874" s="42"/>
      <c r="E874" s="42"/>
      <c r="F874" s="42"/>
      <c r="G874" s="42"/>
      <c r="H874" s="42"/>
      <c r="I874" s="42"/>
      <c r="M874" s="42"/>
    </row>
    <row r="875">
      <c r="A875" s="42"/>
      <c r="B875" s="42"/>
      <c r="C875" s="42"/>
      <c r="D875" s="42"/>
      <c r="E875" s="42"/>
      <c r="F875" s="42"/>
      <c r="G875" s="42"/>
      <c r="H875" s="42"/>
      <c r="I875" s="42"/>
      <c r="M875" s="42"/>
    </row>
    <row r="876">
      <c r="A876" s="42"/>
      <c r="B876" s="42"/>
      <c r="C876" s="42"/>
      <c r="D876" s="42"/>
      <c r="E876" s="42"/>
      <c r="F876" s="42"/>
      <c r="G876" s="42"/>
      <c r="H876" s="42"/>
      <c r="I876" s="42"/>
      <c r="M876" s="42"/>
    </row>
    <row r="877">
      <c r="A877" s="42"/>
      <c r="B877" s="42"/>
      <c r="C877" s="42"/>
      <c r="D877" s="42"/>
      <c r="E877" s="42"/>
      <c r="F877" s="42"/>
      <c r="G877" s="42"/>
      <c r="H877" s="42"/>
      <c r="I877" s="42"/>
      <c r="M877" s="42"/>
    </row>
    <row r="878">
      <c r="A878" s="42"/>
      <c r="B878" s="42"/>
      <c r="C878" s="42"/>
      <c r="D878" s="42"/>
      <c r="E878" s="42"/>
      <c r="F878" s="42"/>
      <c r="G878" s="42"/>
      <c r="H878" s="42"/>
      <c r="I878" s="42"/>
      <c r="M878" s="42"/>
    </row>
    <row r="879">
      <c r="A879" s="42"/>
      <c r="B879" s="42"/>
      <c r="C879" s="42"/>
      <c r="D879" s="42"/>
      <c r="E879" s="42"/>
      <c r="F879" s="42"/>
      <c r="G879" s="42"/>
      <c r="H879" s="42"/>
      <c r="I879" s="42"/>
      <c r="M879" s="42"/>
    </row>
    <row r="880">
      <c r="A880" s="42"/>
      <c r="B880" s="42"/>
      <c r="C880" s="42"/>
      <c r="D880" s="42"/>
      <c r="E880" s="42"/>
      <c r="F880" s="42"/>
      <c r="G880" s="42"/>
      <c r="H880" s="42"/>
      <c r="I880" s="42"/>
      <c r="M880" s="42"/>
    </row>
    <row r="881">
      <c r="A881" s="42"/>
      <c r="B881" s="42"/>
      <c r="C881" s="42"/>
      <c r="D881" s="42"/>
      <c r="E881" s="42"/>
      <c r="F881" s="42"/>
      <c r="G881" s="42"/>
      <c r="H881" s="42"/>
      <c r="I881" s="42"/>
      <c r="M881" s="42"/>
    </row>
    <row r="882">
      <c r="A882" s="42"/>
      <c r="B882" s="42"/>
      <c r="C882" s="42"/>
      <c r="D882" s="42"/>
      <c r="E882" s="42"/>
      <c r="F882" s="42"/>
      <c r="G882" s="42"/>
      <c r="H882" s="42"/>
      <c r="I882" s="42"/>
      <c r="M882" s="42"/>
    </row>
    <row r="883">
      <c r="A883" s="42"/>
      <c r="B883" s="42"/>
      <c r="C883" s="42"/>
      <c r="D883" s="42"/>
      <c r="E883" s="42"/>
      <c r="F883" s="42"/>
      <c r="G883" s="42"/>
      <c r="H883" s="42"/>
      <c r="I883" s="42"/>
      <c r="M883" s="42"/>
    </row>
    <row r="884">
      <c r="A884" s="42"/>
      <c r="B884" s="42"/>
      <c r="C884" s="42"/>
      <c r="D884" s="42"/>
      <c r="E884" s="42"/>
      <c r="F884" s="42"/>
      <c r="G884" s="42"/>
      <c r="H884" s="42"/>
      <c r="I884" s="42"/>
      <c r="M884" s="42"/>
    </row>
    <row r="885">
      <c r="A885" s="42"/>
      <c r="B885" s="42"/>
      <c r="C885" s="42"/>
      <c r="D885" s="42"/>
      <c r="E885" s="42"/>
      <c r="F885" s="42"/>
      <c r="G885" s="42"/>
      <c r="H885" s="42"/>
      <c r="I885" s="42"/>
      <c r="M885" s="42"/>
    </row>
    <row r="886">
      <c r="A886" s="42"/>
      <c r="B886" s="42"/>
      <c r="C886" s="42"/>
      <c r="D886" s="42"/>
      <c r="E886" s="42"/>
      <c r="F886" s="42"/>
      <c r="G886" s="42"/>
      <c r="H886" s="42"/>
      <c r="I886" s="42"/>
      <c r="M886" s="42"/>
    </row>
    <row r="887">
      <c r="A887" s="42"/>
      <c r="B887" s="42"/>
      <c r="C887" s="42"/>
      <c r="D887" s="42"/>
      <c r="E887" s="42"/>
      <c r="F887" s="42"/>
      <c r="G887" s="42"/>
      <c r="H887" s="42"/>
      <c r="I887" s="42"/>
      <c r="M887" s="42"/>
    </row>
    <row r="888">
      <c r="A888" s="42"/>
      <c r="B888" s="42"/>
      <c r="C888" s="42"/>
      <c r="D888" s="42"/>
      <c r="E888" s="42"/>
      <c r="F888" s="42"/>
      <c r="G888" s="42"/>
      <c r="H888" s="42"/>
      <c r="I888" s="42"/>
      <c r="M888" s="42"/>
    </row>
    <row r="889">
      <c r="A889" s="42"/>
      <c r="B889" s="42"/>
      <c r="C889" s="42"/>
      <c r="D889" s="42"/>
      <c r="E889" s="42"/>
      <c r="F889" s="42"/>
      <c r="G889" s="42"/>
      <c r="H889" s="42"/>
      <c r="I889" s="42"/>
      <c r="M889" s="42"/>
    </row>
    <row r="890">
      <c r="A890" s="42"/>
      <c r="B890" s="42"/>
      <c r="C890" s="42"/>
      <c r="D890" s="42"/>
      <c r="E890" s="42"/>
      <c r="F890" s="42"/>
      <c r="G890" s="42"/>
      <c r="H890" s="42"/>
      <c r="I890" s="42"/>
      <c r="M890" s="42"/>
    </row>
    <row r="891">
      <c r="A891" s="42"/>
      <c r="B891" s="42"/>
      <c r="C891" s="42"/>
      <c r="D891" s="42"/>
      <c r="E891" s="42"/>
      <c r="F891" s="42"/>
      <c r="G891" s="42"/>
      <c r="H891" s="42"/>
      <c r="I891" s="42"/>
      <c r="M891" s="42"/>
    </row>
    <row r="892">
      <c r="A892" s="42"/>
      <c r="B892" s="42"/>
      <c r="C892" s="42"/>
      <c r="D892" s="42"/>
      <c r="E892" s="42"/>
      <c r="F892" s="42"/>
      <c r="G892" s="42"/>
      <c r="H892" s="42"/>
      <c r="I892" s="42"/>
      <c r="M892" s="42"/>
    </row>
    <row r="893">
      <c r="A893" s="42"/>
      <c r="B893" s="42"/>
      <c r="C893" s="42"/>
      <c r="D893" s="42"/>
      <c r="E893" s="42"/>
      <c r="F893" s="42"/>
      <c r="G893" s="42"/>
      <c r="H893" s="42"/>
      <c r="I893" s="42"/>
      <c r="M893" s="42"/>
    </row>
    <row r="894">
      <c r="A894" s="42"/>
      <c r="B894" s="42"/>
      <c r="C894" s="42"/>
      <c r="D894" s="42"/>
      <c r="E894" s="42"/>
      <c r="F894" s="42"/>
      <c r="G894" s="42"/>
      <c r="H894" s="42"/>
      <c r="I894" s="42"/>
      <c r="M894" s="42"/>
    </row>
    <row r="895">
      <c r="A895" s="42"/>
      <c r="B895" s="42"/>
      <c r="C895" s="42"/>
      <c r="D895" s="42"/>
      <c r="E895" s="42"/>
      <c r="F895" s="42"/>
      <c r="G895" s="42"/>
      <c r="H895" s="42"/>
      <c r="I895" s="42"/>
      <c r="M895" s="42"/>
    </row>
    <row r="896">
      <c r="A896" s="42"/>
      <c r="B896" s="42"/>
      <c r="C896" s="42"/>
      <c r="D896" s="42"/>
      <c r="E896" s="42"/>
      <c r="F896" s="42"/>
      <c r="G896" s="42"/>
      <c r="H896" s="42"/>
      <c r="I896" s="42"/>
      <c r="M896" s="42"/>
    </row>
    <row r="897">
      <c r="A897" s="42"/>
      <c r="B897" s="42"/>
      <c r="C897" s="42"/>
      <c r="D897" s="42"/>
      <c r="E897" s="42"/>
      <c r="F897" s="42"/>
      <c r="G897" s="42"/>
      <c r="H897" s="42"/>
      <c r="I897" s="42"/>
      <c r="M897" s="42"/>
    </row>
    <row r="898">
      <c r="A898" s="42"/>
      <c r="B898" s="42"/>
      <c r="C898" s="42"/>
      <c r="D898" s="42"/>
      <c r="E898" s="42"/>
      <c r="F898" s="42"/>
      <c r="G898" s="42"/>
      <c r="H898" s="42"/>
      <c r="I898" s="42"/>
      <c r="M898" s="42"/>
    </row>
    <row r="899">
      <c r="A899" s="42"/>
      <c r="B899" s="42"/>
      <c r="C899" s="42"/>
      <c r="D899" s="42"/>
      <c r="E899" s="42"/>
      <c r="F899" s="42"/>
      <c r="G899" s="42"/>
      <c r="H899" s="42"/>
      <c r="I899" s="42"/>
      <c r="M899" s="42"/>
    </row>
    <row r="900">
      <c r="A900" s="42"/>
      <c r="B900" s="42"/>
      <c r="C900" s="42"/>
      <c r="D900" s="42"/>
      <c r="E900" s="42"/>
      <c r="F900" s="42"/>
      <c r="G900" s="42"/>
      <c r="H900" s="42"/>
      <c r="I900" s="42"/>
      <c r="M900" s="42"/>
    </row>
    <row r="901">
      <c r="A901" s="42"/>
      <c r="B901" s="42"/>
      <c r="C901" s="42"/>
      <c r="D901" s="42"/>
      <c r="E901" s="42"/>
      <c r="F901" s="42"/>
      <c r="G901" s="42"/>
      <c r="H901" s="42"/>
      <c r="I901" s="42"/>
      <c r="M901" s="42"/>
    </row>
    <row r="902">
      <c r="A902" s="42"/>
      <c r="B902" s="42"/>
      <c r="C902" s="42"/>
      <c r="D902" s="42"/>
      <c r="E902" s="42"/>
      <c r="F902" s="42"/>
      <c r="G902" s="42"/>
      <c r="H902" s="42"/>
      <c r="I902" s="42"/>
      <c r="M902" s="42"/>
    </row>
    <row r="903">
      <c r="A903" s="42"/>
      <c r="B903" s="42"/>
      <c r="C903" s="42"/>
      <c r="D903" s="42"/>
      <c r="E903" s="42"/>
      <c r="F903" s="42"/>
      <c r="G903" s="42"/>
      <c r="H903" s="42"/>
      <c r="I903" s="42"/>
      <c r="M903" s="42"/>
    </row>
    <row r="904">
      <c r="A904" s="42"/>
      <c r="B904" s="42"/>
      <c r="C904" s="42"/>
      <c r="D904" s="42"/>
      <c r="E904" s="42"/>
      <c r="F904" s="42"/>
      <c r="G904" s="42"/>
      <c r="H904" s="42"/>
      <c r="I904" s="42"/>
      <c r="M904" s="42"/>
    </row>
    <row r="905">
      <c r="A905" s="42"/>
      <c r="B905" s="42"/>
      <c r="C905" s="42"/>
      <c r="D905" s="42"/>
      <c r="E905" s="42"/>
      <c r="F905" s="42"/>
      <c r="G905" s="42"/>
      <c r="H905" s="42"/>
      <c r="I905" s="42"/>
      <c r="M905" s="42"/>
    </row>
    <row r="906">
      <c r="A906" s="42"/>
      <c r="B906" s="42"/>
      <c r="C906" s="42"/>
      <c r="D906" s="42"/>
      <c r="E906" s="42"/>
      <c r="F906" s="42"/>
      <c r="G906" s="42"/>
      <c r="H906" s="42"/>
      <c r="I906" s="42"/>
      <c r="M906" s="42"/>
    </row>
    <row r="907">
      <c r="A907" s="42"/>
      <c r="B907" s="42"/>
      <c r="C907" s="42"/>
      <c r="D907" s="42"/>
      <c r="E907" s="42"/>
      <c r="F907" s="42"/>
      <c r="G907" s="42"/>
      <c r="H907" s="42"/>
      <c r="I907" s="42"/>
      <c r="M907" s="42"/>
    </row>
    <row r="908">
      <c r="A908" s="42"/>
      <c r="B908" s="42"/>
      <c r="C908" s="42"/>
      <c r="D908" s="42"/>
      <c r="E908" s="42"/>
      <c r="F908" s="42"/>
      <c r="G908" s="42"/>
      <c r="H908" s="42"/>
      <c r="I908" s="42"/>
      <c r="M908" s="42"/>
    </row>
    <row r="909">
      <c r="A909" s="42"/>
      <c r="B909" s="42"/>
      <c r="C909" s="42"/>
      <c r="D909" s="42"/>
      <c r="E909" s="42"/>
      <c r="F909" s="42"/>
      <c r="G909" s="42"/>
      <c r="H909" s="42"/>
      <c r="I909" s="42"/>
      <c r="M909" s="42"/>
    </row>
    <row r="910">
      <c r="A910" s="42"/>
      <c r="B910" s="42"/>
      <c r="C910" s="42"/>
      <c r="D910" s="42"/>
      <c r="E910" s="42"/>
      <c r="F910" s="42"/>
      <c r="G910" s="42"/>
      <c r="H910" s="42"/>
      <c r="I910" s="42"/>
      <c r="M910" s="42"/>
    </row>
    <row r="911">
      <c r="A911" s="42"/>
      <c r="B911" s="42"/>
      <c r="C911" s="42"/>
      <c r="D911" s="42"/>
      <c r="E911" s="42"/>
      <c r="F911" s="42"/>
      <c r="G911" s="42"/>
      <c r="H911" s="42"/>
      <c r="I911" s="42"/>
      <c r="M911" s="42"/>
    </row>
    <row r="912">
      <c r="A912" s="42"/>
      <c r="B912" s="42"/>
      <c r="C912" s="42"/>
      <c r="D912" s="42"/>
      <c r="E912" s="42"/>
      <c r="F912" s="42"/>
      <c r="G912" s="42"/>
      <c r="H912" s="42"/>
      <c r="I912" s="42"/>
      <c r="M912" s="42"/>
    </row>
    <row r="913">
      <c r="A913" s="42"/>
      <c r="B913" s="42"/>
      <c r="C913" s="42"/>
      <c r="D913" s="42"/>
      <c r="E913" s="42"/>
      <c r="F913" s="42"/>
      <c r="G913" s="42"/>
      <c r="H913" s="42"/>
      <c r="I913" s="42"/>
      <c r="M913" s="42"/>
    </row>
    <row r="914">
      <c r="A914" s="42"/>
      <c r="B914" s="42"/>
      <c r="C914" s="42"/>
      <c r="D914" s="42"/>
      <c r="E914" s="42"/>
      <c r="F914" s="42"/>
      <c r="G914" s="42"/>
      <c r="H914" s="42"/>
      <c r="I914" s="42"/>
      <c r="M914" s="42"/>
    </row>
    <row r="915">
      <c r="A915" s="42"/>
      <c r="B915" s="42"/>
      <c r="C915" s="42"/>
      <c r="D915" s="42"/>
      <c r="E915" s="42"/>
      <c r="F915" s="42"/>
      <c r="G915" s="42"/>
      <c r="H915" s="42"/>
      <c r="I915" s="42"/>
      <c r="M915" s="42"/>
    </row>
    <row r="916">
      <c r="A916" s="42"/>
      <c r="B916" s="42"/>
      <c r="C916" s="42"/>
      <c r="D916" s="42"/>
      <c r="E916" s="42"/>
      <c r="F916" s="42"/>
      <c r="G916" s="42"/>
      <c r="H916" s="42"/>
      <c r="I916" s="42"/>
      <c r="M916" s="42"/>
    </row>
    <row r="917">
      <c r="A917" s="42"/>
      <c r="B917" s="42"/>
      <c r="C917" s="42"/>
      <c r="D917" s="42"/>
      <c r="E917" s="42"/>
      <c r="F917" s="42"/>
      <c r="G917" s="42"/>
      <c r="H917" s="42"/>
      <c r="I917" s="42"/>
      <c r="M917" s="42"/>
    </row>
    <row r="918">
      <c r="A918" s="42"/>
      <c r="B918" s="42"/>
      <c r="C918" s="42"/>
      <c r="D918" s="42"/>
      <c r="E918" s="42"/>
      <c r="F918" s="42"/>
      <c r="G918" s="42"/>
      <c r="H918" s="42"/>
      <c r="I918" s="42"/>
      <c r="M918" s="42"/>
    </row>
    <row r="919">
      <c r="A919" s="42"/>
      <c r="B919" s="42"/>
      <c r="C919" s="42"/>
      <c r="D919" s="42"/>
      <c r="E919" s="42"/>
      <c r="F919" s="42"/>
      <c r="G919" s="42"/>
      <c r="H919" s="42"/>
      <c r="I919" s="42"/>
      <c r="M919" s="42"/>
    </row>
    <row r="920">
      <c r="A920" s="42"/>
      <c r="B920" s="42"/>
      <c r="C920" s="42"/>
      <c r="D920" s="42"/>
      <c r="E920" s="42"/>
      <c r="F920" s="42"/>
      <c r="G920" s="42"/>
      <c r="H920" s="42"/>
      <c r="I920" s="42"/>
      <c r="M920" s="42"/>
    </row>
    <row r="921">
      <c r="A921" s="42"/>
      <c r="B921" s="42"/>
      <c r="C921" s="42"/>
      <c r="D921" s="42"/>
      <c r="E921" s="42"/>
      <c r="F921" s="42"/>
      <c r="G921" s="42"/>
      <c r="H921" s="42"/>
      <c r="I921" s="42"/>
      <c r="M921" s="42"/>
    </row>
    <row r="922">
      <c r="A922" s="42"/>
      <c r="B922" s="42"/>
      <c r="C922" s="42"/>
      <c r="D922" s="42"/>
      <c r="E922" s="42"/>
      <c r="F922" s="42"/>
      <c r="G922" s="42"/>
      <c r="H922" s="42"/>
      <c r="I922" s="42"/>
      <c r="M922" s="42"/>
    </row>
    <row r="923">
      <c r="A923" s="42"/>
      <c r="B923" s="42"/>
      <c r="C923" s="42"/>
      <c r="D923" s="42"/>
      <c r="E923" s="42"/>
      <c r="F923" s="42"/>
      <c r="G923" s="42"/>
      <c r="H923" s="42"/>
      <c r="I923" s="42"/>
      <c r="M923" s="42"/>
    </row>
    <row r="924">
      <c r="A924" s="42"/>
      <c r="B924" s="42"/>
      <c r="C924" s="42"/>
      <c r="D924" s="42"/>
      <c r="E924" s="42"/>
      <c r="F924" s="42"/>
      <c r="G924" s="42"/>
      <c r="H924" s="42"/>
      <c r="I924" s="42"/>
      <c r="M924" s="42"/>
    </row>
    <row r="925">
      <c r="A925" s="42"/>
      <c r="B925" s="42"/>
      <c r="C925" s="42"/>
      <c r="D925" s="42"/>
      <c r="E925" s="42"/>
      <c r="F925" s="42"/>
      <c r="G925" s="42"/>
      <c r="H925" s="42"/>
      <c r="I925" s="42"/>
      <c r="M925" s="42"/>
    </row>
    <row r="926">
      <c r="A926" s="42"/>
      <c r="B926" s="42"/>
      <c r="C926" s="42"/>
      <c r="D926" s="42"/>
      <c r="E926" s="42"/>
      <c r="F926" s="42"/>
      <c r="G926" s="42"/>
      <c r="H926" s="42"/>
      <c r="I926" s="42"/>
      <c r="M926" s="42"/>
    </row>
    <row r="927">
      <c r="A927" s="42"/>
      <c r="B927" s="42"/>
      <c r="C927" s="42"/>
      <c r="D927" s="42"/>
      <c r="E927" s="42"/>
      <c r="F927" s="42"/>
      <c r="G927" s="42"/>
      <c r="H927" s="42"/>
      <c r="I927" s="42"/>
      <c r="M927" s="42"/>
    </row>
    <row r="928">
      <c r="A928" s="42"/>
      <c r="B928" s="42"/>
      <c r="C928" s="42"/>
      <c r="D928" s="42"/>
      <c r="E928" s="42"/>
      <c r="F928" s="42"/>
      <c r="G928" s="42"/>
      <c r="H928" s="42"/>
      <c r="I928" s="42"/>
      <c r="M928" s="42"/>
    </row>
    <row r="929">
      <c r="A929" s="42"/>
      <c r="B929" s="42"/>
      <c r="C929" s="42"/>
      <c r="D929" s="42"/>
      <c r="E929" s="42"/>
      <c r="F929" s="42"/>
      <c r="G929" s="42"/>
      <c r="H929" s="42"/>
      <c r="I929" s="42"/>
      <c r="M929" s="42"/>
    </row>
    <row r="930">
      <c r="A930" s="42"/>
      <c r="B930" s="42"/>
      <c r="C930" s="42"/>
      <c r="D930" s="42"/>
      <c r="E930" s="42"/>
      <c r="F930" s="42"/>
      <c r="G930" s="42"/>
      <c r="H930" s="42"/>
      <c r="I930" s="42"/>
      <c r="M930" s="42"/>
    </row>
    <row r="931">
      <c r="A931" s="42"/>
      <c r="B931" s="42"/>
      <c r="C931" s="42"/>
      <c r="D931" s="42"/>
      <c r="E931" s="42"/>
      <c r="F931" s="42"/>
      <c r="G931" s="42"/>
      <c r="H931" s="42"/>
      <c r="I931" s="42"/>
      <c r="M931" s="42"/>
    </row>
    <row r="932">
      <c r="A932" s="42"/>
      <c r="B932" s="42"/>
      <c r="C932" s="42"/>
      <c r="D932" s="42"/>
      <c r="E932" s="42"/>
      <c r="F932" s="42"/>
      <c r="G932" s="42"/>
      <c r="H932" s="42"/>
      <c r="I932" s="42"/>
      <c r="M932" s="42"/>
    </row>
    <row r="933">
      <c r="A933" s="42"/>
      <c r="B933" s="42"/>
      <c r="C933" s="42"/>
      <c r="D933" s="42"/>
      <c r="E933" s="42"/>
      <c r="F933" s="42"/>
      <c r="G933" s="42"/>
      <c r="H933" s="42"/>
      <c r="I933" s="42"/>
      <c r="M933" s="42"/>
    </row>
    <row r="934">
      <c r="A934" s="42"/>
      <c r="B934" s="42"/>
      <c r="C934" s="42"/>
      <c r="D934" s="42"/>
      <c r="E934" s="42"/>
      <c r="F934" s="42"/>
      <c r="G934" s="42"/>
      <c r="H934" s="42"/>
      <c r="I934" s="42"/>
      <c r="M934" s="42"/>
    </row>
    <row r="935">
      <c r="A935" s="42"/>
      <c r="B935" s="42"/>
      <c r="C935" s="42"/>
      <c r="D935" s="42"/>
      <c r="E935" s="42"/>
      <c r="F935" s="42"/>
      <c r="G935" s="42"/>
      <c r="H935" s="42"/>
      <c r="I935" s="42"/>
      <c r="M935" s="42"/>
    </row>
    <row r="936">
      <c r="A936" s="42"/>
      <c r="B936" s="42"/>
      <c r="C936" s="42"/>
      <c r="D936" s="42"/>
      <c r="E936" s="42"/>
      <c r="F936" s="42"/>
      <c r="G936" s="42"/>
      <c r="H936" s="42"/>
      <c r="I936" s="42"/>
      <c r="M936" s="42"/>
    </row>
    <row r="937">
      <c r="A937" s="42"/>
      <c r="B937" s="42"/>
      <c r="C937" s="42"/>
      <c r="D937" s="42"/>
      <c r="E937" s="42"/>
      <c r="F937" s="42"/>
      <c r="G937" s="42"/>
      <c r="H937" s="42"/>
      <c r="I937" s="42"/>
      <c r="M937" s="42"/>
    </row>
    <row r="938">
      <c r="A938" s="42"/>
      <c r="B938" s="42"/>
      <c r="C938" s="42"/>
      <c r="D938" s="42"/>
      <c r="E938" s="42"/>
      <c r="F938" s="42"/>
      <c r="G938" s="42"/>
      <c r="H938" s="42"/>
      <c r="I938" s="42"/>
      <c r="M938" s="42"/>
    </row>
    <row r="939">
      <c r="A939" s="42"/>
      <c r="B939" s="42"/>
      <c r="C939" s="42"/>
      <c r="D939" s="42"/>
      <c r="E939" s="42"/>
      <c r="F939" s="42"/>
      <c r="G939" s="42"/>
      <c r="H939" s="42"/>
      <c r="I939" s="42"/>
      <c r="M939" s="42"/>
    </row>
    <row r="940">
      <c r="A940" s="42"/>
      <c r="B940" s="42"/>
      <c r="C940" s="42"/>
      <c r="D940" s="42"/>
      <c r="E940" s="42"/>
      <c r="F940" s="42"/>
      <c r="G940" s="42"/>
      <c r="H940" s="42"/>
      <c r="I940" s="42"/>
      <c r="M940" s="42"/>
    </row>
    <row r="941">
      <c r="A941" s="42"/>
      <c r="B941" s="42"/>
      <c r="C941" s="42"/>
      <c r="D941" s="42"/>
      <c r="E941" s="42"/>
      <c r="F941" s="42"/>
      <c r="G941" s="42"/>
      <c r="H941" s="42"/>
      <c r="I941" s="42"/>
      <c r="M941" s="42"/>
    </row>
    <row r="942">
      <c r="A942" s="42"/>
      <c r="B942" s="42"/>
      <c r="C942" s="42"/>
      <c r="D942" s="42"/>
      <c r="E942" s="42"/>
      <c r="F942" s="42"/>
      <c r="G942" s="42"/>
      <c r="H942" s="42"/>
      <c r="I942" s="42"/>
      <c r="M942" s="42"/>
    </row>
    <row r="943">
      <c r="A943" s="42"/>
      <c r="B943" s="42"/>
      <c r="C943" s="42"/>
      <c r="D943" s="42"/>
      <c r="E943" s="42"/>
      <c r="F943" s="42"/>
      <c r="G943" s="42"/>
      <c r="H943" s="42"/>
      <c r="I943" s="42"/>
      <c r="M943" s="42"/>
    </row>
    <row r="944">
      <c r="A944" s="42"/>
      <c r="B944" s="42"/>
      <c r="C944" s="42"/>
      <c r="D944" s="42"/>
      <c r="E944" s="42"/>
      <c r="F944" s="42"/>
      <c r="G944" s="42"/>
      <c r="H944" s="42"/>
      <c r="I944" s="42"/>
      <c r="M944" s="42"/>
    </row>
    <row r="945">
      <c r="A945" s="42"/>
      <c r="B945" s="42"/>
      <c r="C945" s="42"/>
      <c r="D945" s="42"/>
      <c r="E945" s="42"/>
      <c r="F945" s="42"/>
      <c r="G945" s="42"/>
      <c r="H945" s="42"/>
      <c r="I945" s="42"/>
      <c r="M945" s="42"/>
    </row>
    <row r="946">
      <c r="A946" s="42"/>
      <c r="B946" s="42"/>
      <c r="C946" s="42"/>
      <c r="D946" s="42"/>
      <c r="E946" s="42"/>
      <c r="F946" s="42"/>
      <c r="G946" s="42"/>
      <c r="H946" s="42"/>
      <c r="I946" s="42"/>
      <c r="M946" s="42"/>
    </row>
    <row r="947">
      <c r="A947" s="42"/>
      <c r="B947" s="42"/>
      <c r="C947" s="42"/>
      <c r="D947" s="42"/>
      <c r="E947" s="42"/>
      <c r="F947" s="42"/>
      <c r="G947" s="42"/>
      <c r="H947" s="42"/>
      <c r="I947" s="42"/>
      <c r="M947" s="42"/>
    </row>
    <row r="948">
      <c r="A948" s="42"/>
      <c r="B948" s="42"/>
      <c r="C948" s="42"/>
      <c r="D948" s="42"/>
      <c r="E948" s="42"/>
      <c r="F948" s="42"/>
      <c r="G948" s="42"/>
      <c r="H948" s="42"/>
      <c r="I948" s="42"/>
      <c r="M948" s="42"/>
    </row>
    <row r="949">
      <c r="A949" s="42"/>
      <c r="B949" s="42"/>
      <c r="C949" s="42"/>
      <c r="D949" s="42"/>
      <c r="E949" s="42"/>
      <c r="F949" s="42"/>
      <c r="G949" s="42"/>
      <c r="H949" s="42"/>
      <c r="I949" s="42"/>
      <c r="M949" s="42"/>
    </row>
    <row r="950">
      <c r="A950" s="42"/>
      <c r="B950" s="42"/>
      <c r="C950" s="42"/>
      <c r="D950" s="42"/>
      <c r="E950" s="42"/>
      <c r="F950" s="42"/>
      <c r="G950" s="42"/>
      <c r="H950" s="42"/>
      <c r="I950" s="42"/>
      <c r="M950" s="42"/>
    </row>
    <row r="951">
      <c r="A951" s="42"/>
      <c r="B951" s="42"/>
      <c r="C951" s="42"/>
      <c r="D951" s="42"/>
      <c r="E951" s="42"/>
      <c r="F951" s="42"/>
      <c r="G951" s="42"/>
      <c r="H951" s="42"/>
      <c r="I951" s="42"/>
      <c r="M951" s="42"/>
    </row>
    <row r="952">
      <c r="A952" s="42"/>
      <c r="B952" s="42"/>
      <c r="C952" s="42"/>
      <c r="D952" s="42"/>
      <c r="E952" s="42"/>
      <c r="F952" s="42"/>
      <c r="G952" s="42"/>
      <c r="H952" s="42"/>
      <c r="I952" s="42"/>
      <c r="M952" s="42"/>
    </row>
    <row r="953">
      <c r="A953" s="42"/>
      <c r="B953" s="42"/>
      <c r="C953" s="42"/>
      <c r="D953" s="42"/>
      <c r="E953" s="42"/>
      <c r="F953" s="42"/>
      <c r="G953" s="42"/>
      <c r="H953" s="42"/>
      <c r="I953" s="42"/>
      <c r="M953" s="42"/>
    </row>
    <row r="954">
      <c r="A954" s="42"/>
      <c r="B954" s="42"/>
      <c r="C954" s="42"/>
      <c r="D954" s="42"/>
      <c r="E954" s="42"/>
      <c r="F954" s="42"/>
      <c r="G954" s="42"/>
      <c r="H954" s="42"/>
      <c r="I954" s="42"/>
      <c r="M954" s="42"/>
    </row>
    <row r="955">
      <c r="A955" s="42"/>
      <c r="B955" s="42"/>
      <c r="C955" s="42"/>
      <c r="D955" s="42"/>
      <c r="E955" s="42"/>
      <c r="F955" s="42"/>
      <c r="G955" s="42"/>
      <c r="H955" s="42"/>
      <c r="I955" s="42"/>
      <c r="M955" s="42"/>
    </row>
    <row r="956">
      <c r="A956" s="42"/>
      <c r="B956" s="42"/>
      <c r="C956" s="42"/>
      <c r="D956" s="42"/>
      <c r="E956" s="42"/>
      <c r="F956" s="42"/>
      <c r="G956" s="42"/>
      <c r="H956" s="42"/>
      <c r="I956" s="42"/>
      <c r="M956" s="42"/>
    </row>
    <row r="957">
      <c r="A957" s="42"/>
      <c r="B957" s="42"/>
      <c r="C957" s="42"/>
      <c r="D957" s="42"/>
      <c r="E957" s="42"/>
      <c r="F957" s="42"/>
      <c r="G957" s="42"/>
      <c r="H957" s="42"/>
      <c r="I957" s="42"/>
      <c r="M957" s="42"/>
    </row>
    <row r="958">
      <c r="A958" s="42"/>
      <c r="B958" s="42"/>
      <c r="C958" s="42"/>
      <c r="D958" s="42"/>
      <c r="E958" s="42"/>
      <c r="F958" s="42"/>
      <c r="G958" s="42"/>
      <c r="H958" s="42"/>
      <c r="I958" s="42"/>
      <c r="M958" s="42"/>
    </row>
    <row r="959">
      <c r="A959" s="42"/>
      <c r="B959" s="42"/>
      <c r="C959" s="42"/>
      <c r="D959" s="42"/>
      <c r="E959" s="42"/>
      <c r="F959" s="42"/>
      <c r="G959" s="42"/>
      <c r="H959" s="42"/>
      <c r="I959" s="42"/>
      <c r="M959" s="42"/>
    </row>
    <row r="960">
      <c r="A960" s="42"/>
      <c r="B960" s="42"/>
      <c r="C960" s="42"/>
      <c r="D960" s="42"/>
      <c r="E960" s="42"/>
      <c r="F960" s="42"/>
      <c r="G960" s="42"/>
      <c r="H960" s="42"/>
      <c r="I960" s="42"/>
      <c r="M960" s="42"/>
    </row>
    <row r="961">
      <c r="A961" s="42"/>
      <c r="B961" s="42"/>
      <c r="C961" s="42"/>
      <c r="D961" s="42"/>
      <c r="E961" s="42"/>
      <c r="F961" s="42"/>
      <c r="G961" s="42"/>
      <c r="H961" s="42"/>
      <c r="I961" s="42"/>
      <c r="M961" s="42"/>
    </row>
    <row r="962">
      <c r="A962" s="42"/>
      <c r="B962" s="42"/>
      <c r="C962" s="42"/>
      <c r="D962" s="42"/>
      <c r="E962" s="42"/>
      <c r="F962" s="42"/>
      <c r="G962" s="42"/>
      <c r="H962" s="42"/>
      <c r="I962" s="42"/>
      <c r="M962" s="42"/>
    </row>
    <row r="963">
      <c r="A963" s="42"/>
      <c r="B963" s="42"/>
      <c r="C963" s="42"/>
      <c r="D963" s="42"/>
      <c r="E963" s="42"/>
      <c r="F963" s="42"/>
      <c r="G963" s="42"/>
      <c r="H963" s="42"/>
      <c r="I963" s="42"/>
      <c r="M963" s="42"/>
    </row>
    <row r="964">
      <c r="A964" s="42"/>
      <c r="B964" s="42"/>
      <c r="C964" s="42"/>
      <c r="D964" s="42"/>
      <c r="E964" s="42"/>
      <c r="F964" s="42"/>
      <c r="G964" s="42"/>
      <c r="H964" s="42"/>
      <c r="I964" s="42"/>
      <c r="M964" s="42"/>
    </row>
    <row r="965">
      <c r="A965" s="42"/>
      <c r="B965" s="42"/>
      <c r="C965" s="42"/>
      <c r="D965" s="42"/>
      <c r="E965" s="42"/>
      <c r="F965" s="42"/>
      <c r="G965" s="42"/>
      <c r="H965" s="42"/>
      <c r="I965" s="42"/>
      <c r="M965" s="42"/>
    </row>
    <row r="966">
      <c r="A966" s="42"/>
      <c r="B966" s="42"/>
      <c r="C966" s="42"/>
      <c r="D966" s="42"/>
      <c r="E966" s="42"/>
      <c r="F966" s="42"/>
      <c r="G966" s="42"/>
      <c r="H966" s="42"/>
      <c r="I966" s="42"/>
      <c r="M966" s="42"/>
    </row>
    <row r="967">
      <c r="A967" s="42"/>
      <c r="B967" s="42"/>
      <c r="C967" s="42"/>
      <c r="D967" s="42"/>
      <c r="E967" s="42"/>
      <c r="F967" s="42"/>
      <c r="G967" s="42"/>
      <c r="H967" s="42"/>
      <c r="I967" s="42"/>
      <c r="M967" s="42"/>
    </row>
    <row r="968">
      <c r="A968" s="42"/>
      <c r="B968" s="42"/>
      <c r="C968" s="42"/>
      <c r="D968" s="42"/>
      <c r="E968" s="42"/>
      <c r="F968" s="42"/>
      <c r="G968" s="42"/>
      <c r="H968" s="42"/>
      <c r="I968" s="42"/>
      <c r="M968" s="42"/>
    </row>
    <row r="969">
      <c r="A969" s="42"/>
      <c r="B969" s="42"/>
      <c r="C969" s="42"/>
      <c r="D969" s="42"/>
      <c r="E969" s="42"/>
      <c r="F969" s="42"/>
      <c r="G969" s="42"/>
      <c r="H969" s="42"/>
      <c r="I969" s="42"/>
      <c r="M969" s="42"/>
    </row>
    <row r="970">
      <c r="A970" s="42"/>
      <c r="B970" s="42"/>
      <c r="C970" s="42"/>
      <c r="D970" s="42"/>
      <c r="E970" s="42"/>
      <c r="F970" s="42"/>
      <c r="G970" s="42"/>
      <c r="H970" s="42"/>
      <c r="I970" s="42"/>
      <c r="M970" s="42"/>
    </row>
    <row r="971">
      <c r="A971" s="42"/>
      <c r="B971" s="42"/>
      <c r="C971" s="42"/>
      <c r="D971" s="42"/>
      <c r="E971" s="42"/>
      <c r="F971" s="42"/>
      <c r="G971" s="42"/>
      <c r="H971" s="42"/>
      <c r="I971" s="42"/>
      <c r="M971" s="42"/>
    </row>
    <row r="972">
      <c r="A972" s="42"/>
      <c r="B972" s="42"/>
      <c r="C972" s="42"/>
      <c r="D972" s="42"/>
      <c r="E972" s="42"/>
      <c r="F972" s="42"/>
      <c r="G972" s="42"/>
      <c r="H972" s="42"/>
      <c r="I972" s="42"/>
      <c r="M972" s="42"/>
    </row>
    <row r="973">
      <c r="A973" s="42"/>
      <c r="B973" s="42"/>
      <c r="C973" s="42"/>
      <c r="D973" s="42"/>
      <c r="E973" s="42"/>
      <c r="F973" s="42"/>
      <c r="G973" s="42"/>
      <c r="H973" s="42"/>
      <c r="I973" s="42"/>
      <c r="M973" s="42"/>
    </row>
    <row r="974">
      <c r="A974" s="42"/>
      <c r="B974" s="42"/>
      <c r="C974" s="42"/>
      <c r="D974" s="42"/>
      <c r="E974" s="42"/>
      <c r="F974" s="42"/>
      <c r="G974" s="42"/>
      <c r="H974" s="42"/>
      <c r="I974" s="42"/>
      <c r="M974" s="42"/>
    </row>
    <row r="975">
      <c r="A975" s="42"/>
      <c r="B975" s="42"/>
      <c r="C975" s="42"/>
      <c r="D975" s="42"/>
      <c r="E975" s="42"/>
      <c r="F975" s="42"/>
      <c r="G975" s="42"/>
      <c r="H975" s="42"/>
      <c r="I975" s="42"/>
      <c r="M975" s="42"/>
    </row>
    <row r="976">
      <c r="A976" s="42"/>
      <c r="B976" s="42"/>
      <c r="C976" s="42"/>
      <c r="D976" s="42"/>
      <c r="E976" s="42"/>
      <c r="F976" s="42"/>
      <c r="G976" s="42"/>
      <c r="H976" s="42"/>
      <c r="I976" s="42"/>
      <c r="M976" s="42"/>
    </row>
    <row r="977">
      <c r="A977" s="42"/>
      <c r="B977" s="42"/>
      <c r="C977" s="42"/>
      <c r="D977" s="42"/>
      <c r="E977" s="42"/>
      <c r="F977" s="42"/>
      <c r="G977" s="42"/>
      <c r="H977" s="42"/>
      <c r="I977" s="42"/>
      <c r="M977" s="42"/>
    </row>
    <row r="978">
      <c r="A978" s="42"/>
      <c r="B978" s="42"/>
      <c r="C978" s="42"/>
      <c r="D978" s="42"/>
      <c r="E978" s="42"/>
      <c r="F978" s="42"/>
      <c r="G978" s="42"/>
      <c r="H978" s="42"/>
      <c r="I978" s="42"/>
      <c r="M978" s="42"/>
    </row>
    <row r="979">
      <c r="A979" s="42"/>
      <c r="B979" s="42"/>
      <c r="C979" s="42"/>
      <c r="D979" s="42"/>
      <c r="E979" s="42"/>
      <c r="F979" s="42"/>
      <c r="G979" s="42"/>
      <c r="H979" s="42"/>
      <c r="I979" s="42"/>
      <c r="M979" s="42"/>
    </row>
    <row r="980">
      <c r="A980" s="42"/>
      <c r="B980" s="42"/>
      <c r="C980" s="42"/>
      <c r="D980" s="42"/>
      <c r="E980" s="42"/>
      <c r="F980" s="42"/>
      <c r="G980" s="42"/>
      <c r="H980" s="42"/>
      <c r="I980" s="42"/>
      <c r="M980" s="42"/>
    </row>
    <row r="981">
      <c r="A981" s="42"/>
      <c r="B981" s="42"/>
      <c r="C981" s="42"/>
      <c r="D981" s="42"/>
      <c r="E981" s="42"/>
      <c r="F981" s="42"/>
      <c r="G981" s="42"/>
      <c r="H981" s="42"/>
      <c r="I981" s="42"/>
      <c r="M981" s="42"/>
    </row>
    <row r="982">
      <c r="A982" s="42"/>
      <c r="B982" s="42"/>
      <c r="C982" s="42"/>
      <c r="D982" s="42"/>
      <c r="E982" s="42"/>
      <c r="F982" s="42"/>
      <c r="G982" s="42"/>
      <c r="H982" s="42"/>
      <c r="I982" s="42"/>
      <c r="M982" s="42"/>
    </row>
    <row r="983">
      <c r="A983" s="42"/>
      <c r="B983" s="42"/>
      <c r="C983" s="42"/>
      <c r="D983" s="42"/>
      <c r="E983" s="42"/>
      <c r="F983" s="42"/>
      <c r="G983" s="42"/>
      <c r="H983" s="42"/>
      <c r="I983" s="42"/>
      <c r="M983" s="42"/>
    </row>
    <row r="984">
      <c r="A984" s="42"/>
      <c r="B984" s="42"/>
      <c r="C984" s="42"/>
      <c r="D984" s="42"/>
      <c r="E984" s="42"/>
      <c r="F984" s="42"/>
      <c r="G984" s="42"/>
      <c r="H984" s="42"/>
      <c r="I984" s="42"/>
      <c r="M984" s="42"/>
    </row>
    <row r="985">
      <c r="A985" s="42"/>
      <c r="B985" s="42"/>
      <c r="C985" s="42"/>
      <c r="D985" s="42"/>
      <c r="E985" s="42"/>
      <c r="F985" s="42"/>
      <c r="G985" s="42"/>
      <c r="H985" s="42"/>
      <c r="I985" s="42"/>
      <c r="M985" s="42"/>
    </row>
    <row r="986">
      <c r="A986" s="42"/>
      <c r="B986" s="42"/>
      <c r="C986" s="42"/>
      <c r="D986" s="42"/>
      <c r="E986" s="42"/>
      <c r="F986" s="42"/>
      <c r="G986" s="42"/>
      <c r="H986" s="42"/>
      <c r="I986" s="42"/>
      <c r="M986" s="42"/>
    </row>
    <row r="987">
      <c r="A987" s="42"/>
      <c r="B987" s="42"/>
      <c r="C987" s="42"/>
      <c r="D987" s="42"/>
      <c r="E987" s="42"/>
      <c r="F987" s="42"/>
      <c r="G987" s="42"/>
      <c r="H987" s="42"/>
      <c r="I987" s="42"/>
      <c r="M987" s="42"/>
    </row>
    <row r="988">
      <c r="A988" s="42"/>
      <c r="B988" s="42"/>
      <c r="C988" s="42"/>
      <c r="D988" s="42"/>
      <c r="E988" s="42"/>
      <c r="F988" s="42"/>
      <c r="G988" s="42"/>
      <c r="H988" s="42"/>
      <c r="I988" s="42"/>
      <c r="M988" s="42"/>
    </row>
    <row r="989">
      <c r="A989" s="42"/>
      <c r="B989" s="42"/>
      <c r="C989" s="42"/>
      <c r="D989" s="42"/>
      <c r="E989" s="42"/>
      <c r="F989" s="42"/>
      <c r="G989" s="42"/>
      <c r="H989" s="42"/>
      <c r="I989" s="42"/>
      <c r="M989" s="42"/>
    </row>
    <row r="990">
      <c r="A990" s="42"/>
      <c r="B990" s="42"/>
      <c r="C990" s="42"/>
      <c r="D990" s="42"/>
      <c r="E990" s="42"/>
      <c r="F990" s="42"/>
      <c r="G990" s="42"/>
      <c r="H990" s="42"/>
      <c r="I990" s="42"/>
      <c r="M990" s="42"/>
    </row>
    <row r="991">
      <c r="A991" s="42"/>
      <c r="B991" s="42"/>
      <c r="C991" s="42"/>
      <c r="D991" s="42"/>
      <c r="E991" s="42"/>
      <c r="F991" s="42"/>
      <c r="G991" s="42"/>
      <c r="H991" s="42"/>
      <c r="I991" s="42"/>
      <c r="M991" s="42"/>
    </row>
    <row r="992">
      <c r="A992" s="42"/>
      <c r="B992" s="42"/>
      <c r="C992" s="42"/>
      <c r="D992" s="42"/>
      <c r="E992" s="42"/>
      <c r="F992" s="42"/>
      <c r="G992" s="42"/>
      <c r="H992" s="42"/>
      <c r="I992" s="42"/>
      <c r="M992" s="42"/>
    </row>
    <row r="993">
      <c r="A993" s="42"/>
      <c r="B993" s="42"/>
      <c r="C993" s="42"/>
      <c r="D993" s="42"/>
      <c r="E993" s="42"/>
      <c r="F993" s="42"/>
      <c r="G993" s="42"/>
      <c r="H993" s="42"/>
      <c r="I993" s="42"/>
      <c r="M993" s="42"/>
    </row>
    <row r="994">
      <c r="A994" s="42"/>
      <c r="B994" s="42"/>
      <c r="C994" s="42"/>
      <c r="D994" s="42"/>
      <c r="E994" s="42"/>
      <c r="F994" s="42"/>
      <c r="G994" s="42"/>
      <c r="H994" s="42"/>
      <c r="I994" s="42"/>
      <c r="M994" s="42"/>
    </row>
    <row r="995">
      <c r="A995" s="42"/>
      <c r="B995" s="42"/>
      <c r="C995" s="42"/>
      <c r="D995" s="42"/>
      <c r="E995" s="42"/>
      <c r="F995" s="42"/>
      <c r="G995" s="42"/>
      <c r="H995" s="42"/>
      <c r="I995" s="42"/>
      <c r="M995" s="42"/>
    </row>
    <row r="996">
      <c r="A996" s="42"/>
      <c r="B996" s="42"/>
      <c r="C996" s="42"/>
      <c r="D996" s="42"/>
      <c r="E996" s="42"/>
      <c r="F996" s="42"/>
      <c r="G996" s="42"/>
      <c r="H996" s="42"/>
      <c r="I996" s="42"/>
      <c r="M996" s="42"/>
    </row>
    <row r="997">
      <c r="A997" s="42"/>
      <c r="B997" s="42"/>
      <c r="C997" s="42"/>
      <c r="D997" s="42"/>
      <c r="E997" s="42"/>
      <c r="F997" s="42"/>
      <c r="G997" s="42"/>
      <c r="H997" s="42"/>
      <c r="I997" s="42"/>
      <c r="M997" s="42"/>
    </row>
    <row r="998">
      <c r="A998" s="42"/>
      <c r="B998" s="42"/>
      <c r="C998" s="42"/>
      <c r="D998" s="42"/>
      <c r="E998" s="42"/>
      <c r="F998" s="42"/>
      <c r="G998" s="42"/>
      <c r="H998" s="42"/>
      <c r="I998" s="42"/>
      <c r="M998" s="42"/>
    </row>
    <row r="999">
      <c r="A999" s="42"/>
      <c r="B999" s="42"/>
      <c r="C999" s="42"/>
      <c r="D999" s="42"/>
      <c r="E999" s="42"/>
      <c r="F999" s="42"/>
      <c r="G999" s="42"/>
      <c r="H999" s="42"/>
      <c r="I999" s="42"/>
      <c r="M999" s="42"/>
    </row>
    <row r="1000">
      <c r="A1000" s="42"/>
      <c r="B1000" s="42"/>
      <c r="C1000" s="42"/>
      <c r="D1000" s="42"/>
      <c r="E1000" s="42"/>
      <c r="F1000" s="42"/>
      <c r="G1000" s="42"/>
      <c r="H1000" s="42"/>
      <c r="I1000" s="42"/>
      <c r="M1000" s="42"/>
    </row>
  </sheetData>
  <drawing r:id="rId1"/>
</worksheet>
</file>