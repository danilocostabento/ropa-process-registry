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UNIFICADO" sheetId="1" r:id="rId4"/>
    <sheet state="visible" name="Dashboard Geral" sheetId="2" r:id="rId5"/>
    <sheet state="visible" name="Dash_Áreas" sheetId="3" r:id="rId6"/>
    <sheet state="visible" name="Dash_Escritório" sheetId="4" r:id="rId7"/>
    <sheet state="visible" name="Dados" sheetId="5" r:id="rId8"/>
  </sheets>
  <definedNames/>
  <calcPr/>
  <extLst>
    <ext uri="GoogleSheetsCustomDataVersion2">
      <go:sheetsCustomData xmlns:go="http://customooxmlschemas.google.com/" r:id="rId9" roundtripDataChecksum="Fe7buXnIuQHzAJDvKCqXi5Rt/BnDf7egXyG2O+S81GM="/>
    </ext>
  </extLst>
</workbook>
</file>

<file path=xl/sharedStrings.xml><?xml version="1.0" encoding="utf-8"?>
<sst xmlns="http://schemas.openxmlformats.org/spreadsheetml/2006/main" count="4068" uniqueCount="110">
  <si>
    <t>*Preenchimento obrigatório</t>
  </si>
  <si>
    <t xml:space="preserve">ÁREA </t>
  </si>
  <si>
    <t>ESCRITÓRIO</t>
  </si>
  <si>
    <t>PRIVACIDADE</t>
  </si>
  <si>
    <t>BASE INDICADORES</t>
  </si>
  <si>
    <t>STATUS</t>
  </si>
  <si>
    <t>ÁREA</t>
  </si>
  <si>
    <t>ID</t>
  </si>
  <si>
    <t>PROCESSO</t>
  </si>
  <si>
    <t>DEPTO</t>
  </si>
  <si>
    <t>FINALIDADE/JUSTIFICATIVA</t>
  </si>
  <si>
    <t>DADOS TRATADOS</t>
  </si>
  <si>
    <t>Compartilha/envia para outra área?*</t>
  </si>
  <si>
    <t>Quais áreas? (se Sim)</t>
  </si>
  <si>
    <t>Compartilha com alguém FORA da Empresa?*</t>
  </si>
  <si>
    <t>Quem são? (se Sim)</t>
  </si>
  <si>
    <t>Sistemas/Plataformas utilizadas*</t>
  </si>
  <si>
    <t>ARMAZENAMENTO</t>
  </si>
  <si>
    <t>Como chega até você?</t>
  </si>
  <si>
    <t>Responsável pelo preenchimento</t>
  </si>
  <si>
    <t>Comentários (Opcional)</t>
  </si>
  <si>
    <t>*BASE LEGAL
(Art. 7 - 11 LGPD)</t>
  </si>
  <si>
    <t>*TIPO DE AGENTE DE TRATAMENTO</t>
  </si>
  <si>
    <t>*TIPO DE DADO</t>
  </si>
  <si>
    <t>*TITULARES VULNERÁVEIS</t>
  </si>
  <si>
    <t>*TRANFERÊNCIA
INTERNACIONAL</t>
  </si>
  <si>
    <t>*RETENÇÃO E DESCARTE</t>
  </si>
  <si>
    <t>*OBSERVAÇÕES
RETENÇÃO E
DESCARTE</t>
  </si>
  <si>
    <t>RISCOS IDENTIFICADOS</t>
  </si>
  <si>
    <t>*CLASSIFICAÇÃO DE RISCO</t>
  </si>
  <si>
    <t>OBSERVAÇÕES
RISCOS IDENTIFICADOS</t>
  </si>
  <si>
    <t>DÚVIDAS
ESCRITÓRIO</t>
  </si>
  <si>
    <t>RESPOSTA
FCAV</t>
  </si>
  <si>
    <t>PLANO DE AÇÃO</t>
  </si>
  <si>
    <t>OBSERVAÇÕES
ESCRITÓRIO</t>
  </si>
  <si>
    <t>RELATÓRIOS
AÇÕES COMPLEMENTARES</t>
  </si>
  <si>
    <t>DATA ÚLTIMA ANÁLISE</t>
  </si>
  <si>
    <t>OBSERVAÇÕES FCAV</t>
  </si>
  <si>
    <t>% Preenchimento Área</t>
  </si>
  <si>
    <t>% Preenchimento Escritório</t>
  </si>
  <si>
    <t>% Preenchimento LGPD</t>
  </si>
  <si>
    <t>% Preenchimento Geral</t>
  </si>
  <si>
    <t>Total de Processos</t>
  </si>
  <si>
    <t>Titulares Vulneráveis</t>
  </si>
  <si>
    <t>Transferência Internacional</t>
  </si>
  <si>
    <t>Geral</t>
  </si>
  <si>
    <t>Plano de Ação</t>
  </si>
  <si>
    <t>Classificação</t>
  </si>
  <si>
    <t>Quantidade</t>
  </si>
  <si>
    <t>Baixo</t>
  </si>
  <si>
    <t>Médio</t>
  </si>
  <si>
    <t>Alto</t>
  </si>
  <si>
    <t>Não classificado</t>
  </si>
  <si>
    <t>Processos sem Riscos Classificados</t>
  </si>
  <si>
    <t>Vulneráveis</t>
  </si>
  <si>
    <t>Qtd</t>
  </si>
  <si>
    <t>Crianças</t>
  </si>
  <si>
    <t>Quantidade de Processos na Área</t>
  </si>
  <si>
    <t>Adolescentes</t>
  </si>
  <si>
    <t>Quantidade de Coleta de Dados de Vulneráveis</t>
  </si>
  <si>
    <t>Total de Riscos Identificados</t>
  </si>
  <si>
    <t>Média Geral de Preenchimento</t>
  </si>
  <si>
    <t>Total Envios Internos</t>
  </si>
  <si>
    <t>Idosos</t>
  </si>
  <si>
    <t>Total Envios Externos</t>
  </si>
  <si>
    <t>Total de Processos com Dados de Vulneráveis</t>
  </si>
  <si>
    <t>Fluxo de Dados</t>
  </si>
  <si>
    <t>Envio Interno</t>
  </si>
  <si>
    <t>Envio Externo</t>
  </si>
  <si>
    <t>Taxa de Riscos</t>
  </si>
  <si>
    <t>Com Riscos Identificados</t>
  </si>
  <si>
    <t>Column 8</t>
  </si>
  <si>
    <t>Área</t>
  </si>
  <si>
    <t>Qtd. Processos</t>
  </si>
  <si>
    <t>% Médio de Preenchimento Área</t>
  </si>
  <si>
    <t>% Médio de Preenchimento Escritório</t>
  </si>
  <si>
    <t>% Médio de Preenchimento Privacidade</t>
  </si>
  <si>
    <t>% Médio de Preenchimento Geral</t>
  </si>
  <si>
    <t>Status Visual</t>
  </si>
  <si>
    <t/>
  </si>
  <si>
    <t>Processo</t>
  </si>
  <si>
    <t>Média de Preenchimento</t>
  </si>
  <si>
    <t>Escritório</t>
  </si>
  <si>
    <t>LGPD</t>
  </si>
  <si>
    <t>Dado Pessoal</t>
  </si>
  <si>
    <t>Dado Pessoal Sensível</t>
  </si>
  <si>
    <t>Dados Anonimizados</t>
  </si>
  <si>
    <t>Exemplos de Atividades</t>
  </si>
  <si>
    <t>Exemplos de Motivo</t>
  </si>
  <si>
    <t>Exemplos de Dados</t>
  </si>
  <si>
    <t>Exemplos de Áreas</t>
  </si>
  <si>
    <t>Exemplos de Quem</t>
  </si>
  <si>
    <t>Exemplos de Sistemas</t>
  </si>
  <si>
    <t>Exemplos de Onde Salva</t>
  </si>
  <si>
    <t>Exemplos de Como Chega</t>
  </si>
  <si>
    <t>Código da Área</t>
  </si>
  <si>
    <t>ID Pasta</t>
  </si>
  <si>
    <t>NOTIFICATION_MAIL_HERE</t>
  </si>
  <si>
    <t>AREA_HERE</t>
  </si>
  <si>
    <t>ACTIVITY_EXAMPLES</t>
  </si>
  <si>
    <t>REASON_EXAMPLE</t>
  </si>
  <si>
    <t>DATA_EXAMPLE</t>
  </si>
  <si>
    <t>AREAS_EXAMPLE</t>
  </si>
  <si>
    <t>WHO_EXAMPLES</t>
  </si>
  <si>
    <t>SYSTEMS_EXAMPLES</t>
  </si>
  <si>
    <t>WHERE_EXAMPLES</t>
  </si>
  <si>
    <t>HOW_EXAMPLES</t>
  </si>
  <si>
    <t>SHEET_ID_HERE</t>
  </si>
  <si>
    <t>AREA_CODE</t>
  </si>
  <si>
    <t>FOLDER_ID_HERE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</si>
</sst>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3.0"/>
      <color rgb="FFFFFFFF"/>
      <name val="Arial"/>
    </font>
    <font>
      <b/>
      <sz val="13.0"/>
      <color rgb="FFFFFFFF"/>
      <name val="Calibri"/>
    </font>
    <font>
      <b/>
      <color rgb="FFFFFFFF"/>
      <name val="Arial"/>
    </font>
    <font>
      <b/>
      <color theme="1"/>
      <name val="Arial"/>
    </font>
    <font>
      <sz val="17.0"/>
      <color theme="1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b/>
      <sz val="17.0"/>
      <color rgb="FFFFFFFF"/>
      <name val="Arial"/>
    </font>
    <font>
      <b/>
      <sz val="17.0"/>
      <color rgb="FF32327F"/>
      <name val="Arial"/>
    </font>
    <font>
      <color rgb="FFF3F3F3"/>
      <name val="Arial"/>
    </font>
    <font>
      <color rgb="FFDBE4F2"/>
      <name val="Arial"/>
    </font>
    <font>
      <b/>
      <sz val="11.0"/>
      <color rgb="FF000000"/>
      <name val="Arial"/>
    </font>
    <font>
      <color rgb="FF000000"/>
      <name val="Arial"/>
    </font>
    <font>
      <b/>
      <sz val="17.0"/>
      <color rgb="FFFFA45C"/>
      <name val="Arial"/>
    </font>
    <font>
      <color rgb="FFFFFFFF"/>
      <name val="Arial"/>
    </font>
    <font>
      <b/>
      <sz val="17.0"/>
      <color rgb="FF6F42C1"/>
      <name val="Arial"/>
    </font>
    <font>
      <b/>
      <color rgb="FFF3F3F3"/>
      <name val="Arial"/>
    </font>
    <font>
      <color rgb="FF000000"/>
      <name val="Google Sans"/>
    </font>
    <font>
      <strike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B4A7D6"/>
        <bgColor rgb="FFB4A7D6"/>
      </patternFill>
    </fill>
    <fill>
      <patternFill patternType="solid">
        <fgColor rgb="FF434343"/>
        <bgColor rgb="FF434343"/>
      </patternFill>
    </fill>
    <fill>
      <patternFill patternType="solid">
        <fgColor rgb="FFA2C4C9"/>
        <bgColor rgb="FFA2C4C9"/>
      </patternFill>
    </fill>
    <fill>
      <patternFill patternType="solid">
        <fgColor rgb="FFA61C00"/>
        <bgColor rgb="FFA61C00"/>
      </patternFill>
    </fill>
    <fill>
      <patternFill patternType="solid">
        <fgColor rgb="FFF3F3F3"/>
        <bgColor rgb="FFF3F3F3"/>
      </patternFill>
    </fill>
    <fill>
      <patternFill patternType="solid">
        <fgColor rgb="FF32327F"/>
        <bgColor rgb="FF32327F"/>
      </patternFill>
    </fill>
    <fill>
      <patternFill patternType="solid">
        <fgColor rgb="FFDC3545"/>
        <bgColor rgb="FFDC3545"/>
      </patternFill>
    </fill>
    <fill>
      <patternFill patternType="solid">
        <fgColor rgb="FF28A745"/>
        <bgColor rgb="FF28A745"/>
      </patternFill>
    </fill>
    <fill>
      <patternFill patternType="solid">
        <fgColor rgb="FFFFC107"/>
        <bgColor rgb="FFFFC107"/>
      </patternFill>
    </fill>
    <fill>
      <patternFill patternType="solid">
        <fgColor rgb="FF6C757D"/>
        <bgColor rgb="FF6C757D"/>
      </patternFill>
    </fill>
    <fill>
      <patternFill patternType="solid">
        <fgColor rgb="FFD9D9D9"/>
        <bgColor rgb="FFD9D9D9"/>
      </patternFill>
    </fill>
  </fills>
  <borders count="11">
    <border/>
    <border>
      <left style="medium">
        <color rgb="FF32327F"/>
      </left>
      <right style="medium">
        <color rgb="FF32327F"/>
      </right>
      <top style="medium">
        <color rgb="FF32327F"/>
      </top>
    </border>
    <border>
      <left style="medium">
        <color rgb="FF32327F"/>
      </left>
      <top style="medium">
        <color rgb="FF32327F"/>
      </top>
    </border>
    <border>
      <right style="medium">
        <color rgb="FF32327F"/>
      </right>
      <top style="medium">
        <color rgb="FF32327F"/>
      </top>
    </border>
    <border>
      <left style="medium">
        <color rgb="FF32327F"/>
      </left>
      <right style="medium">
        <color rgb="FF32327F"/>
      </right>
      <bottom style="medium">
        <color rgb="FF32327F"/>
      </bottom>
    </border>
    <border>
      <left style="medium">
        <color rgb="FF32327F"/>
      </left>
    </border>
    <border>
      <right style="medium">
        <color rgb="FF32327F"/>
      </right>
    </border>
    <border>
      <left style="medium">
        <color rgb="FF32327F"/>
      </left>
      <bottom style="medium">
        <color rgb="FF32327F"/>
      </bottom>
    </border>
    <border>
      <right style="medium">
        <color rgb="FF32327F"/>
      </right>
      <bottom style="medium">
        <color rgb="FF32327F"/>
      </bottom>
    </border>
    <border>
      <left style="medium">
        <color rgb="FFFFFFFF"/>
      </left>
      <right style="medium">
        <color rgb="FF32327F"/>
      </right>
      <top style="medium">
        <color rgb="FF32327F"/>
      </top>
    </border>
    <border>
      <left style="medium">
        <color rgb="FF32327F"/>
      </left>
      <right style="medium">
        <color rgb="FF32327F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shrinkToFit="0" vertical="bottom" wrapText="1"/>
    </xf>
    <xf borderId="0" fillId="2" fontId="1" numFmtId="49" xfId="0" applyAlignment="1" applyFill="1" applyFont="1" applyNumberFormat="1">
      <alignment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/>
    </xf>
    <xf borderId="0" fillId="3" fontId="2" numFmtId="49" xfId="0" applyAlignment="1" applyFill="1" applyFont="1" applyNumberFormat="1">
      <alignment horizontal="center" readingOrder="0" shrinkToFit="0" vertical="center" wrapText="1"/>
    </xf>
    <xf borderId="0" fillId="4" fontId="3" numFmtId="49" xfId="0" applyAlignment="1" applyFill="1" applyFont="1" applyNumberFormat="1">
      <alignment horizontal="center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3" fontId="5" numFmtId="49" xfId="0" applyAlignment="1" applyFill="1" applyFont="1" applyNumberFormat="1">
      <alignment horizontal="left" readingOrder="0" shrinkToFit="0" vertical="center" wrapText="1"/>
    </xf>
    <xf borderId="0" fillId="4" fontId="5" numFmtId="49" xfId="0" applyAlignment="1" applyFill="1" applyFont="1" applyNumberFormat="1">
      <alignment horizontal="left" readingOrder="0" shrinkToFit="0" vertical="center" wrapText="1"/>
    </xf>
    <xf borderId="0" fillId="5" fontId="5" numFmtId="49" xfId="0" applyAlignment="1" applyFill="1" applyFont="1" applyNumberFormat="1">
      <alignment horizontal="left" readingOrder="0" shrinkToFit="0" vertical="center" wrapText="1"/>
    </xf>
    <xf borderId="0" fillId="6" fontId="5" numFmtId="49" xfId="0" applyAlignment="1" applyFill="1" applyFont="1" applyNumberFormat="1">
      <alignment horizontal="left" readingOrder="0" shrinkToFit="0" vertical="center" wrapText="1"/>
    </xf>
    <xf borderId="0" fillId="7" fontId="5" numFmtId="49" xfId="0" applyAlignment="1" applyFill="1" applyFont="1" applyNumberFormat="1">
      <alignment horizontal="left" readingOrder="0" shrinkToFit="0" vertical="center" wrapText="1"/>
    </xf>
    <xf borderId="0" fillId="8" fontId="5" numFmtId="49" xfId="0" applyAlignment="1" applyFill="1" applyFont="1" applyNumberFormat="1">
      <alignment horizontal="left" readingOrder="0" shrinkToFit="0" vertical="center" wrapText="1"/>
    </xf>
    <xf borderId="0" fillId="4" fontId="4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9" xfId="0" applyAlignment="1" applyFont="1" applyNumberFormat="1">
      <alignment shrinkToFit="0" vertical="center" wrapText="1"/>
    </xf>
    <xf borderId="0" fillId="9" fontId="6" numFmtId="0" xfId="0" applyFill="1" applyFont="1"/>
    <xf borderId="0" fillId="9" fontId="1" numFmtId="0" xfId="0" applyAlignment="1" applyFill="1" applyFont="1">
      <alignment shrinkToFit="0" wrapText="1"/>
    </xf>
    <xf borderId="0" fillId="9" fontId="1" numFmtId="0" xfId="0" applyFill="1" applyFont="1"/>
    <xf borderId="1" fillId="10" fontId="7" numFmtId="0" xfId="0" applyAlignment="1" applyBorder="1" applyFill="1" applyFont="1">
      <alignment horizontal="center" shrinkToFit="0" wrapText="1"/>
    </xf>
    <xf borderId="0" fillId="9" fontId="7" numFmtId="0" xfId="0" applyAlignment="1" applyFill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1" fillId="10" fontId="7" numFmtId="0" xfId="0" applyAlignment="1" applyBorder="1" applyFill="1" applyFont="1">
      <alignment horizontal="center" shrinkToFit="0" vertical="center" wrapText="1"/>
    </xf>
    <xf borderId="1" fillId="12" fontId="7" numFmtId="0" xfId="0" applyAlignment="1" applyBorder="1" applyFill="1" applyFont="1">
      <alignment horizontal="center" shrinkToFit="0" vertical="center" wrapText="1"/>
    </xf>
    <xf borderId="0" fillId="9" fontId="8" numFmtId="0" xfId="0" applyAlignment="1" applyFill="1" applyFont="1">
      <alignment horizontal="center" shrinkToFit="0" vertical="center" wrapText="1"/>
    </xf>
    <xf borderId="2" fillId="10" fontId="4" numFmtId="0" xfId="0" applyBorder="1" applyFill="1" applyFont="1"/>
    <xf borderId="3" fillId="10" fontId="4" numFmtId="0" xfId="0" applyAlignment="1" applyBorder="1" applyFill="1" applyFont="1">
      <alignment shrinkToFit="0" wrapText="1"/>
    </xf>
    <xf borderId="4" fillId="10" fontId="9" numFmtId="3" xfId="0" applyAlignment="1" applyBorder="1" applyFill="1" applyFont="1" applyNumberFormat="1">
      <alignment horizontal="center" shrinkToFit="0" vertical="center" wrapText="1"/>
    </xf>
    <xf borderId="0" fillId="9" fontId="9" numFmtId="0" xfId="0" applyAlignment="1" applyFill="1" applyFont="1">
      <alignment horizontal="center" shrinkToFit="0" vertical="center" wrapText="1"/>
    </xf>
    <xf borderId="5" fillId="9" fontId="1" numFmtId="0" xfId="0" applyBorder="1" applyFill="1" applyFont="1"/>
    <xf borderId="4" fillId="11" fontId="9" numFmtId="0" xfId="0" applyAlignment="1" applyBorder="1" applyFill="1" applyFont="1">
      <alignment horizontal="center" shrinkToFit="0" vertical="center" wrapText="1"/>
    </xf>
    <xf borderId="4" fillId="10" fontId="9" numFmtId="0" xfId="0" applyAlignment="1" applyBorder="1" applyFill="1" applyFont="1">
      <alignment horizontal="center" shrinkToFit="0" vertical="center" wrapText="1"/>
    </xf>
    <xf borderId="6" fillId="9" fontId="1" numFmtId="0" xfId="0" applyAlignment="1" applyBorder="1" applyFill="1" applyFont="1">
      <alignment shrinkToFit="0" wrapText="1"/>
    </xf>
    <xf borderId="0" fillId="0" fontId="1" numFmtId="10" xfId="0" applyAlignment="1" applyFont="1" applyNumberFormat="1">
      <alignment shrinkToFit="0" vertical="center" wrapText="1"/>
    </xf>
    <xf borderId="4" fillId="12" fontId="9" numFmtId="0" xfId="0" applyAlignment="1" applyBorder="1" applyFill="1" applyFont="1">
      <alignment horizontal="center" shrinkToFit="0" vertical="center" wrapText="1"/>
    </xf>
    <xf borderId="0" fillId="9" fontId="10" numFmtId="0" xfId="0" applyAlignment="1" applyFill="1" applyFont="1">
      <alignment horizontal="center" shrinkToFit="0" vertical="center" wrapText="1"/>
    </xf>
    <xf borderId="0" fillId="9" fontId="11" numFmtId="0" xfId="0" applyFill="1" applyFont="1"/>
    <xf borderId="0" fillId="9" fontId="12" numFmtId="0" xfId="0" applyAlignment="1" applyFill="1" applyFont="1">
      <alignment shrinkToFit="0" wrapText="1"/>
    </xf>
    <xf borderId="7" fillId="9" fontId="1" numFmtId="0" xfId="0" applyBorder="1" applyFill="1" applyFont="1"/>
    <xf borderId="8" fillId="9" fontId="1" numFmtId="0" xfId="0" applyAlignment="1" applyBorder="1" applyFill="1" applyFont="1">
      <alignment shrinkToFit="0" wrapText="1"/>
    </xf>
    <xf borderId="0" fillId="9" fontId="11" numFmtId="0" xfId="0" applyAlignment="1" applyFill="1" applyFont="1">
      <alignment shrinkToFit="0" wrapText="1"/>
    </xf>
    <xf borderId="1" fillId="13" fontId="7" numFmtId="0" xfId="0" applyAlignment="1" applyBorder="1" applyFill="1" applyFont="1">
      <alignment horizontal="center" shrinkToFit="0" vertical="center" wrapText="1"/>
    </xf>
    <xf borderId="0" fillId="9" fontId="1" numFmtId="0" xfId="0" applyAlignment="1" applyFill="1" applyFont="1">
      <alignment horizontal="center" shrinkToFit="0" wrapText="1"/>
    </xf>
    <xf borderId="4" fillId="13" fontId="9" numFmtId="3" xfId="0" applyAlignment="1" applyBorder="1" applyFill="1" applyFont="1" applyNumberFormat="1">
      <alignment horizontal="center" shrinkToFit="0" vertical="center" wrapText="1"/>
    </xf>
    <xf borderId="0" fillId="9" fontId="1" numFmtId="1" xfId="0" applyAlignment="1" applyFill="1" applyFont="1" applyNumberFormat="1">
      <alignment horizontal="center"/>
    </xf>
    <xf borderId="0" fillId="9" fontId="1" numFmtId="0" xfId="0" applyAlignment="1" applyFill="1" applyFont="1">
      <alignment horizontal="center"/>
    </xf>
    <xf borderId="0" fillId="9" fontId="11" numFmtId="3" xfId="0" applyFill="1" applyFont="1" applyNumberFormat="1"/>
    <xf borderId="0" fillId="9" fontId="8" numFmtId="0" xfId="0" applyAlignment="1" applyFill="1" applyFont="1">
      <alignment horizontal="center" shrinkToFit="0" wrapText="1"/>
    </xf>
    <xf borderId="1" fillId="11" fontId="7" numFmtId="0" xfId="0" applyAlignment="1" applyBorder="1" applyFill="1" applyFont="1">
      <alignment horizontal="center" shrinkToFit="0" wrapText="1"/>
    </xf>
    <xf borderId="0" fillId="9" fontId="1" numFmtId="0" xfId="0" applyAlignment="1" applyFill="1" applyFont="1">
      <alignment horizontal="center" shrinkToFit="0" vertical="center" wrapText="1"/>
    </xf>
    <xf borderId="1" fillId="9" fontId="13" numFmtId="0" xfId="0" applyAlignment="1" applyBorder="1" applyFill="1" applyFont="1">
      <alignment horizontal="center" shrinkToFit="0" wrapText="1"/>
    </xf>
    <xf borderId="1" fillId="9" fontId="8" numFmtId="0" xfId="0" applyAlignment="1" applyBorder="1" applyFill="1" applyFont="1">
      <alignment horizontal="center" shrinkToFit="0" wrapText="1"/>
    </xf>
    <xf borderId="1" fillId="14" fontId="7" numFmtId="0" xfId="0" applyAlignment="1" applyBorder="1" applyFill="1" applyFont="1">
      <alignment horizontal="center" shrinkToFit="0" wrapText="1"/>
    </xf>
    <xf borderId="0" fillId="9" fontId="10" numFmtId="3" xfId="0" applyAlignment="1" applyFill="1" applyFont="1" applyNumberFormat="1">
      <alignment horizontal="center" shrinkToFit="0" vertical="center" wrapText="1"/>
    </xf>
    <xf borderId="4" fillId="11" fontId="9" numFmtId="3" xfId="0" applyAlignment="1" applyBorder="1" applyFill="1" applyFont="1" applyNumberFormat="1">
      <alignment horizontal="center" shrinkToFit="0" vertical="center" wrapText="1"/>
    </xf>
    <xf borderId="0" fillId="9" fontId="14" numFmtId="0" xfId="0" applyFill="1" applyFont="1"/>
    <xf borderId="0" fillId="9" fontId="14" numFmtId="0" xfId="0" applyAlignment="1" applyFill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4" fillId="9" fontId="15" numFmtId="3" xfId="0" applyAlignment="1" applyBorder="1" applyFill="1" applyFont="1" applyNumberFormat="1">
      <alignment horizontal="center" shrinkToFit="0" vertical="center" wrapText="1"/>
    </xf>
    <xf borderId="0" fillId="0" fontId="16" numFmtId="0" xfId="0" applyFont="1"/>
    <xf borderId="4" fillId="9" fontId="10" numFmtId="9" xfId="0" applyAlignment="1" applyBorder="1" applyFill="1" applyFont="1" applyNumberFormat="1">
      <alignment horizontal="center" shrinkToFit="0" vertical="center" wrapText="1"/>
    </xf>
    <xf borderId="0" fillId="9" fontId="1" numFmtId="1" xfId="0" applyAlignment="1" applyFill="1" applyFont="1" applyNumberFormat="1">
      <alignment horizontal="center" vertical="center"/>
    </xf>
    <xf borderId="4" fillId="14" fontId="9" numFmtId="0" xfId="0" applyAlignment="1" applyBorder="1" applyFill="1" applyFont="1">
      <alignment horizontal="center" shrinkToFit="0" vertical="center" wrapText="1"/>
    </xf>
    <xf borderId="0" fillId="9" fontId="1" numFmtId="0" xfId="0" applyAlignment="1" applyFill="1" applyFont="1">
      <alignment vertical="center"/>
    </xf>
    <xf borderId="4" fillId="9" fontId="17" numFmtId="0" xfId="0" applyAlignment="1" applyBorder="1" applyFill="1" applyFont="1">
      <alignment horizontal="center" shrinkToFit="0" vertical="center" wrapText="1"/>
    </xf>
    <xf borderId="0" fillId="9" fontId="11" numFmtId="0" xfId="0" applyAlignment="1" applyFill="1" applyFont="1">
      <alignment horizontal="center" vertical="center"/>
    </xf>
    <xf borderId="0" fillId="9" fontId="11" numFmtId="3" xfId="0" applyAlignment="1" applyFill="1" applyFont="1" applyNumberFormat="1">
      <alignment shrinkToFit="0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 shrinkToFit="0" vertical="center" wrapText="1"/>
    </xf>
    <xf borderId="0" fillId="4" fontId="8" numFmtId="0" xfId="0" applyAlignment="1" applyFill="1" applyFont="1">
      <alignment horizontal="center" readingOrder="0" shrinkToFit="0" vertical="center" wrapText="1"/>
    </xf>
    <xf borderId="0" fillId="9" fontId="1" numFmtId="0" xfId="0" applyAlignment="1" applyFill="1" applyFont="1">
      <alignment shrinkToFit="0" vertical="center" wrapText="1"/>
    </xf>
    <xf borderId="0" fillId="9" fontId="18" numFmtId="0" xfId="0" applyAlignment="1" applyFill="1" applyFont="1">
      <alignment shrinkToFit="0" wrapText="1"/>
    </xf>
    <xf borderId="0" fillId="9" fontId="18" numFmtId="0" xfId="0" applyAlignment="1" applyFill="1" applyFont="1">
      <alignment horizontal="center" vertical="center"/>
    </xf>
    <xf borderId="0" fillId="9" fontId="1" numFmtId="0" xfId="0" applyAlignment="1" applyFill="1" applyFont="1">
      <alignment horizontal="center" shrinkToFit="0" vertical="center" wrapText="1"/>
    </xf>
    <xf borderId="0" fillId="9" fontId="1" numFmtId="9" xfId="0" applyAlignment="1" applyFill="1" applyFont="1" applyNumberFormat="1">
      <alignment horizontal="center" shrinkToFit="0" vertical="center" wrapText="1"/>
    </xf>
    <xf borderId="0" fillId="9" fontId="1" numFmtId="10" xfId="0" applyAlignment="1" applyFill="1" applyFont="1" applyNumberFormat="1">
      <alignment horizontal="center" shrinkToFit="0" vertical="center" wrapText="0"/>
    </xf>
    <xf borderId="0" fillId="9" fontId="1" numFmtId="9" xfId="0" applyAlignment="1" applyFill="1" applyFont="1" applyNumberFormat="1">
      <alignment horizontal="center" shrinkToFit="0" vertical="center" wrapText="0"/>
    </xf>
    <xf borderId="0" fillId="9" fontId="1" numFmtId="9" xfId="0" applyAlignment="1" applyFill="1" applyFont="1" applyNumberFormat="1">
      <alignment shrinkToFit="0" wrapText="1"/>
    </xf>
    <xf borderId="0" fillId="15" fontId="1" numFmtId="0" xfId="0" applyAlignment="1" applyFill="1" applyFont="1">
      <alignment shrinkToFit="0" vertical="center" wrapText="1"/>
    </xf>
    <xf borderId="0" fillId="15" fontId="1" numFmtId="0" xfId="0" applyAlignment="1" applyFill="1" applyFont="1">
      <alignment horizontal="center" shrinkToFit="0" vertical="center" wrapText="1"/>
    </xf>
    <xf borderId="0" fillId="15" fontId="1" numFmtId="9" xfId="0" applyAlignment="1" applyFill="1" applyFont="1" applyNumberFormat="1">
      <alignment horizontal="center" shrinkToFit="0" vertical="center" wrapText="1"/>
    </xf>
    <xf borderId="0" fillId="15" fontId="1" numFmtId="10" xfId="0" applyAlignment="1" applyFill="1" applyFont="1" applyNumberFormat="1">
      <alignment horizontal="center" shrinkToFit="0" vertical="center" wrapText="0"/>
    </xf>
    <xf borderId="0" fillId="15" fontId="1" numFmtId="9" xfId="0" applyAlignment="1" applyFill="1" applyFont="1" applyNumberFormat="1">
      <alignment horizontal="center" shrinkToFit="0" vertical="center" wrapText="0"/>
    </xf>
    <xf borderId="2" fillId="10" fontId="16" numFmtId="0" xfId="0" applyAlignment="1" applyBorder="1" applyFill="1" applyFont="1">
      <alignment shrinkToFit="0" wrapText="1"/>
    </xf>
    <xf borderId="9" fillId="10" fontId="16" numFmtId="0" xfId="0" applyAlignment="1" applyBorder="1" applyFill="1" applyFont="1">
      <alignment shrinkToFit="0" wrapText="1"/>
    </xf>
    <xf borderId="1" fillId="9" fontId="1" numFmtId="0" xfId="0" applyAlignment="1" applyBorder="1" applyFill="1" applyFont="1">
      <alignment shrinkToFit="0" wrapText="1"/>
    </xf>
    <xf borderId="10" fillId="9" fontId="1" numFmtId="0" xfId="0" applyAlignment="1" applyBorder="1" applyFill="1" applyFont="1">
      <alignment shrinkToFit="0" wrapText="1"/>
    </xf>
    <xf borderId="0" fillId="9" fontId="11" numFmtId="0" xfId="0" applyAlignment="1" applyFill="1" applyFont="1">
      <alignment horizontal="center"/>
    </xf>
    <xf borderId="4" fillId="9" fontId="1" numFmtId="0" xfId="0" applyAlignment="1" applyBorder="1" applyFill="1" applyFont="1">
      <alignment shrinkToFit="0" wrapText="1"/>
    </xf>
    <xf borderId="0" fillId="9" fontId="11" numFmtId="0" xfId="0" applyAlignment="1" applyFill="1" applyFont="1">
      <alignment horizontal="center" shrinkToFit="0" wrapText="1"/>
    </xf>
    <xf borderId="0" fillId="9" fontId="11" numFmtId="1" xfId="0" applyAlignment="1" applyFill="1" applyFont="1" applyNumberForma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2" fontId="19" numFmtId="0" xfId="0" applyFill="1" applyFont="1"/>
    <xf borderId="0" fillId="2" fontId="1" numFmtId="49" xfId="0" applyAlignment="1" applyFill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20" numFmtId="0" xfId="0" applyAlignment="1" applyFont="1">
      <alignment shrinkToFit="0" vertical="center" wrapText="1"/>
    </xf>
    <xf borderId="0" fillId="0" fontId="20" numFmtId="49" xfId="0" applyAlignment="1" applyFont="1" applyNumberForma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20" numFmtId="164" xfId="0" applyAlignment="1" applyFont="1" applyNumberFormat="1">
      <alignment shrinkToFit="0" vertical="center" wrapText="1"/>
    </xf>
    <xf borderId="0" fillId="0" fontId="20" numFmtId="9" xfId="0" applyAlignment="1" applyFont="1" applyNumberFormat="1">
      <alignment shrinkToFit="0" vertical="center" wrapText="1"/>
    </xf>
    <xf borderId="0" fillId="0" fontId="20" numFmtId="10" xfId="0" applyAlignment="1" applyFont="1" applyNumberFormat="1">
      <alignment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32327F"/>
          <bgColor rgb="FF32327F"/>
        </patternFill>
      </fill>
      <border/>
    </dxf>
    <dxf>
      <border>
        <left style="thin">
          <color rgb="FF32327F"/>
        </left>
        <right style="thin">
          <color rgb="FF32327F"/>
        </right>
        <top style="thin">
          <color rgb="FF32327F"/>
        </top>
        <bottom style="thin">
          <color rgb="FF32327F"/>
        </bottom>
      </border>
    </dxf>
    <dxf>
      <font>
        <color rgb="FF38761D"/>
      </font>
      <fill>
        <patternFill patternType="none"/>
      </fill>
      <border/>
    </dxf>
    <dxf>
      <font>
        <color rgb="FFBF9000"/>
      </font>
      <fill>
        <patternFill patternType="none"/>
      </fill>
      <border/>
    </dxf>
  </dxfs>
  <tableStyles count="2">
    <tableStyle count="4" pivot="0" name="REGISTRO UNIFIC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 Geral-style">
      <tableStyleElement dxfId="5" type="headerRow"/>
      <tableStyleElement dxfId="2" type="firstRowStripe"/>
      <tableStyleElement dxfId="3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Volume de Processos por Área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'Dashboard Geral'!$C$7</c:f>
            </c:strRef>
          </c:tx>
          <c:invertIfNegative val="0"/>
          <c:cat>
            <c:strRef>
              <c:f>'Dashboard Geral'!$B$8:$B$18</c:f>
            </c:strRef>
          </c:cat>
          <c:val>
            <c:numRef>
              <c:f>'Dashboard Geral'!$C$8:$C$18</c:f>
              <c:numCache/>
            </c:numRef>
          </c:val>
        </c:ser>
        <c:axId val="410040992"/>
        <c:axId val="486798055"/>
      </c:barChart>
      <c:catAx>
        <c:axId val="41004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6798055"/>
      </c:catAx>
      <c:valAx>
        <c:axId val="48679805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1004099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Qtd Vulneráveis versus Área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'Dashboard Geral'!$R$24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'Dashboard Geral'!$Q$25:$Q$35</c:f>
            </c:strRef>
          </c:cat>
          <c:val>
            <c:numRef>
              <c:f>'Dashboard Geral'!$R$25:$R$35</c:f>
              <c:numCache/>
            </c:numRef>
          </c:val>
        </c:ser>
        <c:axId val="561713368"/>
        <c:axId val="892720696"/>
      </c:barChart>
      <c:catAx>
        <c:axId val="5617133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2720696"/>
      </c:catAx>
      <c:valAx>
        <c:axId val="8927206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Qtd Vulneráveis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171336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Processos e Com Riscos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Geral'!$D$40</c:f>
            </c:strRef>
          </c:tx>
          <c:spPr>
            <a:solidFill>
              <a:srgbClr val="32327F"/>
            </a:solidFill>
            <a:ln cmpd="sng">
              <a:noFill/>
            </a:ln>
          </c:spPr>
          <c:invertIfNegative val="0"/>
          <c:cat>
            <c:strRef>
              <c:f>'Dashboard Geral'!$C$41:$C$51</c:f>
            </c:strRef>
          </c:cat>
          <c:val>
            <c:numRef>
              <c:f>'Dashboard Geral'!$D$41:$D$51</c:f>
              <c:numCache/>
            </c:numRef>
          </c:val>
        </c:ser>
        <c:ser>
          <c:idx val="1"/>
          <c:order val="1"/>
          <c:tx>
            <c:strRef>
              <c:f>'Dashboard Geral'!$E$40</c:f>
            </c:strRef>
          </c:tx>
          <c:spPr>
            <a:solidFill>
              <a:srgbClr val="990000"/>
            </a:solidFill>
            <a:ln cmpd="sng">
              <a:noFill/>
            </a:ln>
          </c:spPr>
          <c:invertIfNegative val="0"/>
          <c:cat>
            <c:strRef>
              <c:f>'Dashboard Geral'!$C$41:$C$51</c:f>
            </c:strRef>
          </c:cat>
          <c:val>
            <c:numRef>
              <c:f>'Dashboard Geral'!$E$41:$E$51</c:f>
              <c:numCache/>
            </c:numRef>
          </c:val>
        </c:ser>
        <c:axId val="1393672752"/>
        <c:axId val="2085265733"/>
      </c:barChart>
      <c:catAx>
        <c:axId val="139367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85265733"/>
      </c:catAx>
      <c:valAx>
        <c:axId val="2085265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367275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Envio Interno e Externo por Área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'Dashboard Geral'!$H$25</c:f>
            </c:strRef>
          </c:tx>
          <c:spPr>
            <a:solidFill>
              <a:srgbClr val="32327F"/>
            </a:solidFill>
            <a:ln cmpd="sng">
              <a:noFill/>
            </a:ln>
          </c:spPr>
          <c:invertIfNegative val="0"/>
          <c:cat>
            <c:strRef>
              <c:f>'Dashboard Geral'!$G$26:$G$36</c:f>
            </c:strRef>
          </c:cat>
          <c:val>
            <c:numRef>
              <c:f>'Dashboard Geral'!$H$26:$H$36</c:f>
              <c:numCache/>
            </c:numRef>
          </c:val>
        </c:ser>
        <c:ser>
          <c:idx val="1"/>
          <c:order val="1"/>
          <c:tx>
            <c:strRef>
              <c:f>'Dashboard Geral'!$I$25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'Dashboard Geral'!$G$26:$G$36</c:f>
            </c:strRef>
          </c:cat>
          <c:val>
            <c:numRef>
              <c:f>'Dashboard Geral'!$I$26:$I$36</c:f>
              <c:numCache/>
            </c:numRef>
          </c:val>
        </c:ser>
        <c:axId val="627649868"/>
        <c:axId val="1622764209"/>
      </c:barChart>
      <c:catAx>
        <c:axId val="6276498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22764209"/>
      </c:catAx>
      <c:valAx>
        <c:axId val="16227642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2764986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Baixo, Médio, Alto e Não Identificado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'Dashboard Geral'!$C$55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'Dashboard Geral'!$B$56:$B$66</c:f>
            </c:strRef>
          </c:cat>
          <c:val>
            <c:numRef>
              <c:f>'Dashboard Geral'!$C$56:$C$66</c:f>
              <c:numCache/>
            </c:numRef>
          </c:val>
        </c:ser>
        <c:ser>
          <c:idx val="1"/>
          <c:order val="1"/>
          <c:tx>
            <c:strRef>
              <c:f>'Dashboard Geral'!$D$55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'Dashboard Geral'!$B$56:$B$66</c:f>
            </c:strRef>
          </c:cat>
          <c:val>
            <c:numRef>
              <c:f>'Dashboard Geral'!$D$56:$D$66</c:f>
              <c:numCache/>
            </c:numRef>
          </c:val>
        </c:ser>
        <c:ser>
          <c:idx val="2"/>
          <c:order val="2"/>
          <c:tx>
            <c:strRef>
              <c:f>'Dashboard Geral'!$E$55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'Dashboard Geral'!$B$56:$B$66</c:f>
            </c:strRef>
          </c:cat>
          <c:val>
            <c:numRef>
              <c:f>'Dashboard Geral'!$E$56:$E$66</c:f>
              <c:numCache/>
            </c:numRef>
          </c:val>
        </c:ser>
        <c:ser>
          <c:idx val="3"/>
          <c:order val="3"/>
          <c:tx>
            <c:strRef>
              <c:f>'Dashboard Geral'!$F$55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'Dashboard Geral'!$B$56:$B$66</c:f>
            </c:strRef>
          </c:cat>
          <c:val>
            <c:numRef>
              <c:f>'Dashboard Geral'!$F$56:$F$66</c:f>
              <c:numCache/>
            </c:numRef>
          </c:val>
        </c:ser>
        <c:axId val="99992695"/>
        <c:axId val="666925202"/>
      </c:areaChart>
      <c:catAx>
        <c:axId val="99992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6925202"/>
      </c:catAx>
      <c:valAx>
        <c:axId val="666925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999269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Classificações por Área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'Dash_Áreas'!$C$3</c:f>
            </c:strRef>
          </c:tx>
          <c:dPt>
            <c:idx val="0"/>
            <c:spPr>
              <a:solidFill>
                <a:srgbClr val="28A745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Pt>
            <c:idx val="2"/>
            <c:spPr>
              <a:solidFill>
                <a:srgbClr val="DC3545"/>
              </a:solidFill>
            </c:spPr>
          </c:dPt>
          <c:dPt>
            <c:idx val="3"/>
            <c:spPr>
              <a:solidFill>
                <a:srgbClr val="CCCCC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'Dash_Áreas'!$B$4:$B$7</c:f>
            </c:strRef>
          </c:cat>
          <c:val>
            <c:numRef>
              <c:f>'Dash_Áreas'!$C$4:$C$7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 sz="1600">
              <a:solidFill>
                <a:srgbClr val="32327F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Envio Interno e Externo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'Dash_Áreas'!$C$18</c:f>
            </c:strRef>
          </c:tx>
          <c:spPr>
            <a:solidFill>
              <a:srgbClr val="32327F"/>
            </a:solidFill>
            <a:ln cmpd="sng">
              <a:noFill/>
            </a:ln>
          </c:spPr>
          <c:invertIfNegative val="0"/>
          <c:dPt>
            <c:idx val="1"/>
            <c:spPr>
              <a:solidFill>
                <a:srgbClr val="3A63B8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'Dash_Áreas'!$B$19:$B$20</c:f>
            </c:strRef>
          </c:cat>
          <c:val>
            <c:numRef>
              <c:f>'Dash_Áreas'!$C$19:$C$20</c:f>
              <c:numCache/>
            </c:numRef>
          </c:val>
        </c:ser>
        <c:axId val="2025372408"/>
        <c:axId val="578945537"/>
      </c:barChart>
      <c:catAx>
        <c:axId val="2025372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78945537"/>
      </c:catAx>
      <c:valAx>
        <c:axId val="578945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537240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Processos x Riscos Identificados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'Dash_Áreas'!$B$23</c:f>
            </c:strRef>
          </c:tx>
          <c:spPr>
            <a:solidFill>
              <a:srgbClr val="32327F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32327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'Dash_Áreas'!$C$22</c:f>
            </c:strRef>
          </c:cat>
          <c:val>
            <c:numRef>
              <c:f>'Dash_Áreas'!$C$23</c:f>
              <c:numCache/>
            </c:numRef>
          </c:val>
        </c:ser>
        <c:ser>
          <c:idx val="1"/>
          <c:order val="1"/>
          <c:tx>
            <c:strRef>
              <c:f>'Dash_Áreas'!$B$24</c:f>
            </c:strRef>
          </c:tx>
          <c:spPr>
            <a:solidFill>
              <a:srgbClr val="3A63B8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'Dash_Áreas'!$C$22</c:f>
            </c:strRef>
          </c:cat>
          <c:val>
            <c:numRef>
              <c:f>'Dash_Áreas'!$C$24</c:f>
              <c:numCache/>
            </c:numRef>
          </c:val>
        </c:ser>
        <c:axId val="51117681"/>
        <c:axId val="743786439"/>
      </c:barChart>
      <c:catAx>
        <c:axId val="51117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43786439"/>
      </c:catAx>
      <c:valAx>
        <c:axId val="743786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111768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Coleta de Dados de Vulneráveis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'Dash_Áreas'!$C$26</c:f>
            </c:strRef>
          </c:tx>
          <c:spPr>
            <a:solidFill>
              <a:srgbClr val="E0666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'Dash_Áreas'!$B$27:$B$29</c:f>
            </c:strRef>
          </c:cat>
          <c:val>
            <c:numRef>
              <c:f>'Dash_Áreas'!$C$27:$C$29</c:f>
              <c:numCache/>
            </c:numRef>
          </c:val>
        </c:ser>
        <c:axId val="1705326579"/>
        <c:axId val="325064464"/>
      </c:barChart>
      <c:catAx>
        <c:axId val="1705326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25064464"/>
      </c:catAx>
      <c:valAx>
        <c:axId val="325064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532657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Base Legal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'Dash_Escritório'!$G$9</c:f>
            </c:strRef>
          </c:tx>
          <c:invertIfNegative val="0"/>
          <c:cat>
            <c:strRef>
              <c:f>'Dash_Escritório'!$F$10:$F$16</c:f>
            </c:strRef>
          </c:cat>
          <c:val>
            <c:numRef>
              <c:f>'Dash_Escritório'!$G$10:$G$16</c:f>
              <c:numCache/>
            </c:numRef>
          </c:val>
        </c:ser>
        <c:axId val="1446887582"/>
        <c:axId val="1690821004"/>
      </c:barChart>
      <c:catAx>
        <c:axId val="14468875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90821004"/>
      </c:catAx>
      <c:valAx>
        <c:axId val="1690821004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446887582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Tipo de Agente de Tratamento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'Dash_Escritório'!$B$18</c:f>
            </c:strRef>
          </c:tx>
          <c:invertIfNegative val="0"/>
          <c:cat>
            <c:strRef>
              <c:f>'Dash_Escritório'!$A$19:$A$20</c:f>
            </c:strRef>
          </c:cat>
          <c:val>
            <c:numRef>
              <c:f>'Dash_Escritório'!$B$19:$B$20</c:f>
              <c:numCache/>
            </c:numRef>
          </c:val>
        </c:ser>
        <c:axId val="137932553"/>
        <c:axId val="547929556"/>
      </c:barChart>
      <c:catAx>
        <c:axId val="1379325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7929556"/>
      </c:catAx>
      <c:valAx>
        <c:axId val="547929556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37932553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Classificação de Riscos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'Dash_Escritório'!$G$18</c:f>
            </c:strRef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'Dash_Escritório'!$F$19:$F$31</c:f>
            </c:strRef>
          </c:cat>
          <c:val>
            <c:numRef>
              <c:f>'Dash_Escritório'!$G$19:$G$31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 sz="1600">
              <a:solidFill>
                <a:srgbClr val="32327F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Quantidade de Vulneráveis e Total de Processos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'Dash_Escritório'!$M$13</c:f>
            </c:strRef>
          </c:tx>
          <c:spPr>
            <a:solidFill>
              <a:srgbClr val="E0666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'Dash_Escritório'!$L$14:$L$16</c:f>
            </c:strRef>
          </c:cat>
          <c:val>
            <c:numRef>
              <c:f>'Dash_Escritório'!$M$14:$M$16</c:f>
              <c:numCache/>
            </c:numRef>
          </c:val>
        </c:ser>
        <c:ser>
          <c:idx val="1"/>
          <c:order val="1"/>
          <c:tx>
            <c:strRef>
              <c:f>'Dash_Escritório'!$N$13</c:f>
            </c:strRef>
          </c:tx>
          <c:spPr>
            <a:solidFill>
              <a:srgbClr val="32327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'Dash_Escritório'!$L$14:$L$16</c:f>
            </c:strRef>
          </c:cat>
          <c:val>
            <c:numRef>
              <c:f>'Dash_Escritório'!$N$14:$N$16</c:f>
              <c:numCache/>
            </c:numRef>
          </c:val>
        </c:ser>
        <c:axId val="464877624"/>
        <c:axId val="1069536568"/>
      </c:barChart>
      <c:catAx>
        <c:axId val="464877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Vulneráveis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69536568"/>
      </c:catAx>
      <c:valAx>
        <c:axId val="10695365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648776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2327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Geral'!$K$40:$M$40</c:f>
            </c:strRef>
          </c:cat>
          <c:val>
            <c:numRef>
              <c:f>'Dashboard Geral'!$K$41:$M$41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 sz="1400">
              <a:solidFill>
                <a:srgbClr val="32327F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960</xdr:row>
      <xdr:rowOff>38100</xdr:rowOff>
    </xdr:from>
    <xdr:ext cx="5715000" cy="3533775"/>
    <xdr:pic>
      <xdr:nvPicPr>
        <xdr:cNvPr id="0" name="image1.png" title="Gráfico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5</xdr:row>
      <xdr:rowOff>114300</xdr:rowOff>
    </xdr:from>
    <xdr:ext cx="6934200" cy="4286250"/>
    <xdr:graphicFrame>
      <xdr:nvGraphicFramePr>
        <xdr:cNvPr id="79748636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228600</xdr:colOff>
      <xdr:row>14</xdr:row>
      <xdr:rowOff>19050</xdr:rowOff>
    </xdr:from>
    <xdr:ext cx="5715000" cy="3533775"/>
    <xdr:graphicFrame>
      <xdr:nvGraphicFramePr>
        <xdr:cNvPr id="197239787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228600</xdr:colOff>
      <xdr:row>1</xdr:row>
      <xdr:rowOff>0</xdr:rowOff>
    </xdr:from>
    <xdr:ext cx="5715000" cy="3533775"/>
    <xdr:graphicFrame>
      <xdr:nvGraphicFramePr>
        <xdr:cNvPr id="123076447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371475</xdr:colOff>
      <xdr:row>1</xdr:row>
      <xdr:rowOff>0</xdr:rowOff>
    </xdr:from>
    <xdr:ext cx="5715000" cy="3533775"/>
    <xdr:graphicFrame>
      <xdr:nvGraphicFramePr>
        <xdr:cNvPr id="929816336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371475</xdr:colOff>
      <xdr:row>14</xdr:row>
      <xdr:rowOff>19050</xdr:rowOff>
    </xdr:from>
    <xdr:ext cx="6334125" cy="3914775"/>
    <xdr:graphicFrame>
      <xdr:nvGraphicFramePr>
        <xdr:cNvPr id="1253564905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552450</xdr:colOff>
      <xdr:row>0</xdr:row>
      <xdr:rowOff>85725</xdr:rowOff>
    </xdr:from>
    <xdr:ext cx="5715000" cy="3533775"/>
    <xdr:graphicFrame>
      <xdr:nvGraphicFramePr>
        <xdr:cNvPr id="112830656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304800</xdr:colOff>
      <xdr:row>0</xdr:row>
      <xdr:rowOff>85725</xdr:rowOff>
    </xdr:from>
    <xdr:ext cx="5715000" cy="3533775"/>
    <xdr:graphicFrame>
      <xdr:nvGraphicFramePr>
        <xdr:cNvPr id="631137886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552450</xdr:colOff>
      <xdr:row>12</xdr:row>
      <xdr:rowOff>542925</xdr:rowOff>
    </xdr:from>
    <xdr:ext cx="5715000" cy="3533775"/>
    <xdr:graphicFrame>
      <xdr:nvGraphicFramePr>
        <xdr:cNvPr id="1816107918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304800</xdr:colOff>
      <xdr:row>12</xdr:row>
      <xdr:rowOff>542925</xdr:rowOff>
    </xdr:from>
    <xdr:ext cx="5715000" cy="3533775"/>
    <xdr:graphicFrame>
      <xdr:nvGraphicFramePr>
        <xdr:cNvPr id="654283462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28575</xdr:rowOff>
    </xdr:from>
    <xdr:ext cx="5715000" cy="3533775"/>
    <xdr:graphicFrame>
      <xdr:nvGraphicFramePr>
        <xdr:cNvPr id="1176679645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590550</xdr:colOff>
      <xdr:row>3</xdr:row>
      <xdr:rowOff>28575</xdr:rowOff>
    </xdr:from>
    <xdr:ext cx="5715000" cy="3533775"/>
    <xdr:graphicFrame>
      <xdr:nvGraphicFramePr>
        <xdr:cNvPr id="504032499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590550</xdr:colOff>
      <xdr:row>21</xdr:row>
      <xdr:rowOff>28575</xdr:rowOff>
    </xdr:from>
    <xdr:ext cx="5715000" cy="3533775"/>
    <xdr:graphicFrame>
      <xdr:nvGraphicFramePr>
        <xdr:cNvPr id="414107311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28575</xdr:rowOff>
    </xdr:from>
    <xdr:ext cx="5715000" cy="3533775"/>
    <xdr:graphicFrame>
      <xdr:nvGraphicFramePr>
        <xdr:cNvPr id="291145999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3067050</xdr:colOff>
      <xdr:row>3</xdr:row>
      <xdr:rowOff>28575</xdr:rowOff>
    </xdr:from>
    <xdr:ext cx="5715000" cy="3533775"/>
    <xdr:graphicFrame>
      <xdr:nvGraphicFramePr>
        <xdr:cNvPr id="154047014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AK159" displayName="REGISTRO_UNIFICADO" name="REGISTRO_UNIFICADO" id="1">
  <tableColumns count="37">
    <tableColumn name="STATUS" id="1"/>
    <tableColumn name="ÁREA" id="2"/>
    <tableColumn name="ID" id="3"/>
    <tableColumn name="PROCESSO" id="4"/>
    <tableColumn name="DEPTO" id="5"/>
    <tableColumn name="FINALIDADE/JUSTIFICATIVA" id="6"/>
    <tableColumn name="DADOS TRATADOS" id="7"/>
    <tableColumn name="Compartilha/envia para outra área?*" id="8"/>
    <tableColumn name="Quais áreas? (se Sim)" id="9"/>
    <tableColumn name="Compartilha com alguém FORA da Empresa?*" id="10"/>
    <tableColumn name="Quem são? (se Sim)" id="11"/>
    <tableColumn name="Sistemas/Plataformas utilizadas*" id="12"/>
    <tableColumn name="ARMAZENAMENTO" id="13"/>
    <tableColumn name="Como chega até você?" id="14"/>
    <tableColumn name="Responsável pelo preenchimento" id="15"/>
    <tableColumn name="Comentários (Opcional)" id="16"/>
    <tableColumn name="*BASE LEGAL_x000a_(Art. 7 - 11 LGPD)" id="17"/>
    <tableColumn name="*TIPO DE AGENTE DE TRATAMENTO" id="18"/>
    <tableColumn name="*TIPO DE DADO" id="19"/>
    <tableColumn name="*TITULARES VULNERÁVEIS" id="20"/>
    <tableColumn name="*TRANFERÊNCIA_x000a_INTERNACIONAL" id="21"/>
    <tableColumn name="*RETENÇÃO E DESCARTE" id="22"/>
    <tableColumn name="*OBSERVAÇÕES_x000a_RETENÇÃO E_x000a_DESCARTE" id="23"/>
    <tableColumn name="RISCOS IDENTIFICADOS" id="24"/>
    <tableColumn name="*CLASSIFICAÇÃO DE RISCO" id="25"/>
    <tableColumn name="OBSERVAÇÕES_x000a_RISCOS IDENTIFICADOS" id="26"/>
    <tableColumn name="DÚVIDAS_x000a_ESCRITÓRIO" id="27"/>
    <tableColumn name="RESPOSTA_x000a_FCAV" id="28"/>
    <tableColumn name="PLANO DE AÇÃO" id="29"/>
    <tableColumn name="OBSERVAÇÕES_x000a_ESCRITÓRIO" id="30"/>
    <tableColumn name="RELATÓRIOS_x000a_AÇÕES COMPLEMENTARES" id="31"/>
    <tableColumn name="DATA ÚLTIMA ANÁLISE" id="32"/>
    <tableColumn name="OBSERVAÇÕES FCAV" id="33"/>
    <tableColumn name="% Preenchimento Área" id="34"/>
    <tableColumn name="% Preenchimento Escritório" id="35"/>
    <tableColumn name="% Preenchimento LGPD" id="36"/>
    <tableColumn name="% Preenchimento Geral" id="37"/>
  </tableColumns>
  <tableStyleInfo name="REGISTRO UNIFICADO-style" showColumnStripes="0" showFirstColumn="1" showLastColumn="1" showRowStripes="1"/>
</table>
</file>

<file path=xl/tables/table2.xml><?xml version="1.0" encoding="utf-8"?>
<table xmlns="http://schemas.openxmlformats.org/spreadsheetml/2006/main" ref="A7:H18" displayName="Processos_por_Área" name="Processos_por_Área" id="2">
  <tableColumns count="8">
    <tableColumn name="Column 8" id="1"/>
    <tableColumn name="Área" id="2"/>
    <tableColumn name="Qtd. Processos" id="3"/>
    <tableColumn name="% Médio de Preenchimento Área" id="4"/>
    <tableColumn name="% Médio de Preenchimento Escritório" id="5"/>
    <tableColumn name="% Médio de Preenchimento Privacidade" id="6"/>
    <tableColumn name="% Médio de Preenchimento Geral" id="7"/>
    <tableColumn name="Status Visual" id="8"/>
  </tableColumns>
  <tableStyleInfo name="Dashboard Ge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19.38"/>
    <col customWidth="1" min="2" max="2" width="19.25"/>
    <col customWidth="1" min="3" max="3" width="11.5"/>
    <col customWidth="1" min="4" max="4" width="42.5"/>
    <col customWidth="1" min="5" max="5" width="23.0"/>
    <col customWidth="1" min="6" max="6" width="27.63"/>
    <col customWidth="1" min="7" max="7" width="32.38"/>
    <col customWidth="1" min="8" max="8" width="21.5"/>
    <col customWidth="1" min="9" max="9" width="25.38"/>
    <col customWidth="1" min="10" max="10" width="20.13"/>
    <col customWidth="1" min="11" max="11" width="25.13"/>
    <col customWidth="1" min="12" max="12" width="33.75"/>
    <col customWidth="1" min="13" max="13" width="24.88"/>
    <col customWidth="1" min="14" max="14" width="25.75"/>
    <col customWidth="1" min="15" max="15" width="26.0"/>
    <col customWidth="1" min="16" max="16" width="31.88"/>
    <col customWidth="1" min="17" max="17" width="23.0"/>
    <col customWidth="1" min="18" max="18" width="26.5"/>
    <col customWidth="1" min="19" max="19" width="22.88"/>
    <col customWidth="1" min="20" max="20" width="23.63"/>
    <col customWidth="1" min="21" max="21" width="19.25"/>
    <col customWidth="1" min="22" max="23" width="19.88"/>
    <col customWidth="1" min="24" max="24" width="25.25"/>
    <col customWidth="1" min="25" max="26" width="24.5"/>
    <col customWidth="1" min="27" max="27" width="22.25"/>
    <col customWidth="1" min="28" max="28" width="25.88"/>
    <col customWidth="1" min="29" max="30" width="22.5"/>
    <col customWidth="1" min="31" max="31" width="31.13"/>
    <col customWidth="1" min="32" max="33" width="26.75"/>
    <col customWidth="1" min="34" max="34" width="21.75"/>
    <col customWidth="1" min="35" max="35" width="20.13"/>
    <col customWidth="1" min="36" max="36" width="18.63"/>
    <col customWidth="1" min="37" max="37" width="15.38"/>
  </cols>
  <sheetData>
    <row r="1" ht="15.7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3"/>
      <c r="AI1" s="3"/>
      <c r="AJ1" s="3"/>
      <c r="AK1" s="3"/>
    </row>
    <row r="2" ht="15.75" customHeight="1">
      <c r="A2" s="1"/>
      <c r="B2" s="1"/>
      <c r="C2" s="1"/>
      <c r="D2" s="4" t="s">
        <v>0</v>
      </c>
      <c r="E2" s="5" t="s">
        <v>1</v>
      </c>
      <c r="Q2" s="6" t="s">
        <v>2</v>
      </c>
      <c r="AE2" s="5" t="s">
        <v>3</v>
      </c>
      <c r="AH2" s="7" t="s">
        <v>4</v>
      </c>
    </row>
    <row r="3" ht="22.5" customHeight="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9" t="s">
        <v>21</v>
      </c>
      <c r="R3" s="9" t="s">
        <v>22</v>
      </c>
      <c r="S3" s="9" t="s">
        <v>23</v>
      </c>
      <c r="T3" s="10" t="s">
        <v>24</v>
      </c>
      <c r="U3" s="11" t="s">
        <v>25</v>
      </c>
      <c r="V3" s="12" t="s">
        <v>26</v>
      </c>
      <c r="W3" s="12" t="s">
        <v>27</v>
      </c>
      <c r="X3" s="9" t="s">
        <v>28</v>
      </c>
      <c r="Y3" s="9" t="s">
        <v>29</v>
      </c>
      <c r="Z3" s="9" t="s">
        <v>30</v>
      </c>
      <c r="AA3" s="13" t="s">
        <v>31</v>
      </c>
      <c r="AB3" s="8" t="s">
        <v>32</v>
      </c>
      <c r="AC3" s="9" t="s">
        <v>33</v>
      </c>
      <c r="AD3" s="9" t="s">
        <v>34</v>
      </c>
      <c r="AE3" s="8" t="s">
        <v>35</v>
      </c>
      <c r="AF3" s="8" t="s">
        <v>36</v>
      </c>
      <c r="AG3" s="8" t="s">
        <v>37</v>
      </c>
      <c r="AH3" s="14" t="s">
        <v>38</v>
      </c>
      <c r="AI3" s="14" t="s">
        <v>39</v>
      </c>
      <c r="AJ3" s="14" t="s">
        <v>40</v>
      </c>
      <c r="AK3" s="14" t="s">
        <v>41</v>
      </c>
    </row>
    <row r="4" ht="22.5" customHeight="1">
      <c r="A4" s="15"/>
      <c r="B4" s="15"/>
      <c r="C4" s="16"/>
      <c r="D4" s="16"/>
      <c r="E4" s="17"/>
      <c r="F4" s="16"/>
      <c r="G4" s="16"/>
      <c r="H4" s="17"/>
      <c r="I4" s="16"/>
      <c r="J4" s="17"/>
      <c r="K4" s="16"/>
      <c r="L4" s="16"/>
      <c r="M4" s="16"/>
      <c r="N4" s="16"/>
      <c r="O4" s="16"/>
      <c r="P4" s="16"/>
      <c r="Q4" s="17"/>
      <c r="R4" s="17"/>
      <c r="S4" s="17"/>
      <c r="T4" s="17"/>
      <c r="U4" s="17"/>
      <c r="V4" s="17"/>
      <c r="W4" s="16"/>
      <c r="X4" s="17"/>
      <c r="Y4" s="17"/>
      <c r="Z4" s="17"/>
      <c r="AA4" s="17"/>
      <c r="AB4" s="16"/>
      <c r="AC4" s="16"/>
      <c r="AD4" s="17"/>
      <c r="AE4" s="17"/>
      <c r="AF4" s="18"/>
      <c r="AG4" s="18"/>
      <c r="AH4" s="19" t="str">
        <f t="array" ref="AH4:AH990">IF(A4:A990="", "", 
   IF(A4:A990="Duplicado", "-", 
    (
     (LEN(D4:D990)&gt;0) + 
     (LEN(F4:F990)&gt;0) + 
     (LEN(G4:G990)&gt;0) + 
     (LEN(H4:H990)&gt;0) + 
     IF(H4:H990="Sim", (LEN(I4:I990)&gt;0), 1) + 
     (LEN(J4:J990)&gt;0) + 
     IF(J4:J990="Sim", (LEN(K4:K990)&gt;0), 1) + 
     (LEN(L4:L990)&gt;0) + 
     (LEN(M4:M990)&gt;0) + 
     (LEN(N4:N990)&gt;0) + 
     (LEN(O4:O990)&gt;0)
    ) / 11
   )
  )</f>
        <v/>
      </c>
      <c r="AI4" s="19" t="str">
        <f t="array" ref="AI4:AI990">IF(A4:A990="", "",
   IF(A4:A990="Duplicado", "-",
    (
     (LEN(Q4:Q990)&gt;0) +
     (LEN(R4:R990)&gt;0) +
     (LEN(S4:S990)&gt;0) +
     (LEN(T4:T990)&gt;0) +
     (LEN(U4:U990)&gt;0) +
     (LEN(V4:V990)&gt;0) +
     (LEN(W4:W990)&gt;0) +
     (LEN(Y4:Y990)&gt;0)
    ) / 8
   )
  )</f>
        <v/>
      </c>
      <c r="AJ4" s="37" t="str">
        <f t="array" ref="AJ4:AJ990">IF(A4:A990="", "", 
   IF(A4:A990="Duplicado", "-", 
    (
     (LEN(AE4:AE990)&gt;0) + 
     (LEN(AF4:AF990)&gt;0)
    ) / 2
   )
  )</f>
        <v/>
      </c>
      <c r="AK4" s="19" t="str">
        <f t="array" ref="AK4:AK990">IF(A4:A990="", "", 
   IF(A4:A990="Duplicado", "-", 
    (
     (LEN(D4:D990)&gt;0) + 
     (LEN(F4:F990)&gt;0) + 
     (LEN(G4:G990)&gt;0) + 
     (LEN(H4:H990)&gt;0) + 
     IF(H4:H990="Sim", (LEN(I4:I990)&gt;0), 1) + 
     (LEN(J4:J990)&gt;0) + 
     IF(J4:J990="Sim", (LEN(K4:K990)&gt;0), 1) + 
     (LEN(L4:L990)&gt;0) + 
     (LEN(M4:M990)&gt;0) + 
     (LEN(N4:N990)&gt;0) + 
     (LEN(O4:O990)&gt;0) + 
     (LEN(Q4:Q990)&gt;0) + 
     (LEN(R4:R990)&gt;0) + 
     (LEN(S4:S990)&gt;0) + 
     (LEN(T4:T990)&gt;0) + 
     (LEN(U4:U990)&gt;0) + 
     (LEN(V4:V990)&gt;0) + 
     (LEN(W4:W990)&gt;0) + 
     (LEN(Y4:Y990)&gt;0) + 
     (LEN(AE4:AE990)&gt;0) + 
     (LEN(AF4:AF990)&gt;0)
    ) / 21
   )
  )</f>
        <v/>
      </c>
    </row>
    <row r="5" ht="22.5" customHeight="1">
      <c r="A5" s="15"/>
      <c r="B5" s="15"/>
      <c r="C5" s="16"/>
      <c r="D5" s="16"/>
      <c r="E5" s="17"/>
      <c r="F5" s="16"/>
      <c r="G5" s="16"/>
      <c r="H5" s="17"/>
      <c r="I5" s="16"/>
      <c r="J5" s="17"/>
      <c r="K5" s="16"/>
      <c r="L5" s="16"/>
      <c r="M5" s="16"/>
      <c r="N5" s="16"/>
      <c r="O5" s="16"/>
      <c r="P5" s="16"/>
      <c r="Q5" s="17"/>
      <c r="R5" s="17"/>
      <c r="S5" s="17"/>
      <c r="T5" s="17"/>
      <c r="U5" s="17"/>
      <c r="V5" s="17"/>
      <c r="W5" s="16"/>
      <c r="X5" s="16"/>
      <c r="Y5" s="17"/>
      <c r="Z5" s="17"/>
      <c r="AA5" s="17"/>
      <c r="AB5" s="16"/>
      <c r="AC5" s="16"/>
      <c r="AD5" s="17"/>
      <c r="AE5" s="17"/>
      <c r="AF5" s="18"/>
      <c r="AG5" s="18"/>
      <c r="AH5" s="19" t="s">
        <v>79</v>
      </c>
      <c r="AI5" s="19" t="s">
        <v>79</v>
      </c>
      <c r="AJ5" s="37" t="s">
        <v>79</v>
      </c>
      <c r="AK5" s="19" t="s">
        <v>79</v>
      </c>
    </row>
    <row r="6" ht="22.5" customHeight="1">
      <c r="A6" s="15"/>
      <c r="B6" s="15"/>
      <c r="C6" s="16"/>
      <c r="D6" s="16"/>
      <c r="E6" s="17"/>
      <c r="F6" s="16"/>
      <c r="G6" s="16"/>
      <c r="H6" s="17"/>
      <c r="I6" s="16"/>
      <c r="J6" s="17"/>
      <c r="K6" s="16"/>
      <c r="L6" s="16"/>
      <c r="M6" s="16"/>
      <c r="N6" s="16"/>
      <c r="O6" s="16"/>
      <c r="P6" s="16"/>
      <c r="Q6" s="17"/>
      <c r="R6" s="17"/>
      <c r="S6" s="17"/>
      <c r="T6" s="17"/>
      <c r="U6" s="17"/>
      <c r="V6" s="17"/>
      <c r="W6" s="16"/>
      <c r="X6" s="16"/>
      <c r="Y6" s="17"/>
      <c r="Z6" s="17"/>
      <c r="AA6" s="17"/>
      <c r="AB6" s="16"/>
      <c r="AC6" s="16"/>
      <c r="AD6" s="17"/>
      <c r="AE6" s="17"/>
      <c r="AF6" s="18"/>
      <c r="AG6" s="18"/>
      <c r="AH6" s="19" t="s">
        <v>79</v>
      </c>
      <c r="AI6" s="19" t="s">
        <v>79</v>
      </c>
      <c r="AJ6" s="37" t="s">
        <v>79</v>
      </c>
      <c r="AK6" s="19" t="s">
        <v>79</v>
      </c>
    </row>
    <row r="7" ht="22.5" customHeight="1">
      <c r="A7" s="15"/>
      <c r="B7" s="15"/>
      <c r="C7" s="16"/>
      <c r="D7" s="16"/>
      <c r="E7" s="17"/>
      <c r="F7" s="16"/>
      <c r="G7" s="16"/>
      <c r="H7" s="17"/>
      <c r="I7" s="16"/>
      <c r="J7" s="17"/>
      <c r="K7" s="16"/>
      <c r="L7" s="16"/>
      <c r="M7" s="16"/>
      <c r="N7" s="16"/>
      <c r="O7" s="16"/>
      <c r="P7" s="16"/>
      <c r="Q7" s="17"/>
      <c r="R7" s="17"/>
      <c r="S7" s="17"/>
      <c r="T7" s="17"/>
      <c r="U7" s="17"/>
      <c r="V7" s="17"/>
      <c r="W7" s="16"/>
      <c r="X7" s="16"/>
      <c r="Y7" s="17"/>
      <c r="Z7" s="17"/>
      <c r="AA7" s="17"/>
      <c r="AB7" s="16"/>
      <c r="AC7" s="16"/>
      <c r="AD7" s="17"/>
      <c r="AE7" s="17"/>
      <c r="AF7" s="18"/>
      <c r="AG7" s="18"/>
      <c r="AH7" s="19" t="s">
        <v>79</v>
      </c>
      <c r="AI7" s="19" t="s">
        <v>79</v>
      </c>
      <c r="AJ7" s="37" t="s">
        <v>79</v>
      </c>
      <c r="AK7" s="19" t="s">
        <v>79</v>
      </c>
    </row>
    <row r="8" ht="22.5" customHeight="1">
      <c r="A8" s="15"/>
      <c r="B8" s="15"/>
      <c r="C8" s="16"/>
      <c r="D8" s="16"/>
      <c r="E8" s="17"/>
      <c r="F8" s="16"/>
      <c r="G8" s="16"/>
      <c r="H8" s="17"/>
      <c r="I8" s="16"/>
      <c r="J8" s="17"/>
      <c r="K8" s="16"/>
      <c r="L8" s="16"/>
      <c r="M8" s="16"/>
      <c r="N8" s="16"/>
      <c r="O8" s="16"/>
      <c r="P8" s="16"/>
      <c r="Q8" s="17"/>
      <c r="R8" s="17"/>
      <c r="S8" s="17"/>
      <c r="T8" s="17"/>
      <c r="U8" s="17"/>
      <c r="V8" s="17"/>
      <c r="W8" s="16"/>
      <c r="X8" s="16"/>
      <c r="Y8" s="17"/>
      <c r="Z8" s="17"/>
      <c r="AA8" s="17"/>
      <c r="AB8" s="16"/>
      <c r="AC8" s="16"/>
      <c r="AD8" s="17"/>
      <c r="AE8" s="17"/>
      <c r="AF8" s="18"/>
      <c r="AG8" s="18"/>
      <c r="AH8" s="19" t="s">
        <v>79</v>
      </c>
      <c r="AI8" s="19" t="s">
        <v>79</v>
      </c>
      <c r="AJ8" s="37" t="s">
        <v>79</v>
      </c>
      <c r="AK8" s="19" t="s">
        <v>79</v>
      </c>
    </row>
    <row r="9" ht="22.5" customHeight="1">
      <c r="A9" s="15"/>
      <c r="B9" s="15"/>
      <c r="C9" s="16"/>
      <c r="D9" s="16"/>
      <c r="E9" s="17"/>
      <c r="F9" s="16"/>
      <c r="G9" s="16"/>
      <c r="H9" s="17"/>
      <c r="I9" s="16"/>
      <c r="J9" s="17"/>
      <c r="K9" s="16"/>
      <c r="L9" s="16"/>
      <c r="M9" s="16"/>
      <c r="N9" s="16"/>
      <c r="O9" s="16"/>
      <c r="P9" s="16"/>
      <c r="Q9" s="17"/>
      <c r="R9" s="17"/>
      <c r="S9" s="17"/>
      <c r="T9" s="17"/>
      <c r="U9" s="17"/>
      <c r="V9" s="17"/>
      <c r="W9" s="16"/>
      <c r="X9" s="16"/>
      <c r="Y9" s="17"/>
      <c r="Z9" s="17"/>
      <c r="AA9" s="17"/>
      <c r="AB9" s="16"/>
      <c r="AC9" s="16"/>
      <c r="AD9" s="17"/>
      <c r="AE9" s="17"/>
      <c r="AF9" s="18"/>
      <c r="AG9" s="18"/>
      <c r="AH9" s="19" t="s">
        <v>79</v>
      </c>
      <c r="AI9" s="19" t="s">
        <v>79</v>
      </c>
      <c r="AJ9" s="37" t="s">
        <v>79</v>
      </c>
      <c r="AK9" s="19" t="s">
        <v>79</v>
      </c>
    </row>
    <row r="10" ht="22.5" customHeight="1">
      <c r="A10" s="15"/>
      <c r="B10" s="15"/>
      <c r="C10" s="16"/>
      <c r="D10" s="16"/>
      <c r="E10" s="17"/>
      <c r="F10" s="16"/>
      <c r="G10" s="16"/>
      <c r="H10" s="17"/>
      <c r="I10" s="16"/>
      <c r="J10" s="17"/>
      <c r="K10" s="16"/>
      <c r="L10" s="16"/>
      <c r="M10" s="16"/>
      <c r="N10" s="16"/>
      <c r="O10" s="16"/>
      <c r="P10" s="16"/>
      <c r="Q10" s="17"/>
      <c r="R10" s="17"/>
      <c r="S10" s="17"/>
      <c r="T10" s="17"/>
      <c r="U10" s="17"/>
      <c r="V10" s="17"/>
      <c r="W10" s="16"/>
      <c r="X10" s="16"/>
      <c r="Y10" s="17"/>
      <c r="Z10" s="17"/>
      <c r="AA10" s="17"/>
      <c r="AB10" s="16"/>
      <c r="AC10" s="16"/>
      <c r="AD10" s="17"/>
      <c r="AE10" s="17"/>
      <c r="AF10" s="18"/>
      <c r="AG10" s="18"/>
      <c r="AH10" s="19" t="s">
        <v>79</v>
      </c>
      <c r="AI10" s="19" t="s">
        <v>79</v>
      </c>
      <c r="AJ10" s="37" t="s">
        <v>79</v>
      </c>
      <c r="AK10" s="19" t="s">
        <v>79</v>
      </c>
    </row>
    <row r="11" ht="22.5" customHeight="1">
      <c r="A11" s="15"/>
      <c r="B11" s="15"/>
      <c r="C11" s="16"/>
      <c r="D11" s="16"/>
      <c r="E11" s="17"/>
      <c r="F11" s="16"/>
      <c r="G11" s="16"/>
      <c r="H11" s="17"/>
      <c r="I11" s="16"/>
      <c r="J11" s="17"/>
      <c r="K11" s="16"/>
      <c r="L11" s="16"/>
      <c r="M11" s="16"/>
      <c r="N11" s="16"/>
      <c r="O11" s="16"/>
      <c r="P11" s="16"/>
      <c r="Q11" s="17"/>
      <c r="R11" s="17"/>
      <c r="S11" s="17"/>
      <c r="T11" s="17"/>
      <c r="U11" s="17"/>
      <c r="V11" s="17"/>
      <c r="W11" s="16"/>
      <c r="X11" s="16"/>
      <c r="Y11" s="17"/>
      <c r="Z11" s="17"/>
      <c r="AA11" s="17"/>
      <c r="AB11" s="16"/>
      <c r="AC11" s="16"/>
      <c r="AD11" s="17"/>
      <c r="AE11" s="17"/>
      <c r="AF11" s="18"/>
      <c r="AG11" s="18"/>
      <c r="AH11" s="19" t="s">
        <v>79</v>
      </c>
      <c r="AI11" s="19" t="s">
        <v>79</v>
      </c>
      <c r="AJ11" s="37" t="s">
        <v>79</v>
      </c>
      <c r="AK11" s="19" t="s">
        <v>79</v>
      </c>
    </row>
    <row r="12" ht="22.5" customHeight="1">
      <c r="A12" s="15"/>
      <c r="B12" s="15"/>
      <c r="C12" s="16"/>
      <c r="D12" s="16"/>
      <c r="E12" s="17"/>
      <c r="F12" s="16"/>
      <c r="G12" s="16"/>
      <c r="H12" s="17"/>
      <c r="I12" s="16"/>
      <c r="J12" s="17"/>
      <c r="K12" s="16"/>
      <c r="L12" s="16"/>
      <c r="M12" s="16"/>
      <c r="N12" s="16"/>
      <c r="O12" s="16"/>
      <c r="P12" s="16"/>
      <c r="Q12" s="17"/>
      <c r="R12" s="17"/>
      <c r="S12" s="17"/>
      <c r="T12" s="17"/>
      <c r="U12" s="17"/>
      <c r="V12" s="17"/>
      <c r="W12" s="16"/>
      <c r="X12" s="16"/>
      <c r="Y12" s="17"/>
      <c r="Z12" s="17"/>
      <c r="AA12" s="17"/>
      <c r="AB12" s="16"/>
      <c r="AC12" s="16"/>
      <c r="AD12" s="17"/>
      <c r="AE12" s="17"/>
      <c r="AF12" s="18"/>
      <c r="AG12" s="18"/>
      <c r="AH12" s="19" t="s">
        <v>79</v>
      </c>
      <c r="AI12" s="19" t="s">
        <v>79</v>
      </c>
      <c r="AJ12" s="37" t="s">
        <v>79</v>
      </c>
      <c r="AK12" s="19" t="s">
        <v>79</v>
      </c>
    </row>
    <row r="13" ht="22.5" customHeight="1">
      <c r="A13" s="15"/>
      <c r="B13" s="15"/>
      <c r="C13" s="16"/>
      <c r="D13" s="16"/>
      <c r="E13" s="17"/>
      <c r="F13" s="16"/>
      <c r="G13" s="16"/>
      <c r="H13" s="17"/>
      <c r="I13" s="16"/>
      <c r="J13" s="17"/>
      <c r="K13" s="16"/>
      <c r="L13" s="16"/>
      <c r="M13" s="16"/>
      <c r="N13" s="16"/>
      <c r="O13" s="16"/>
      <c r="P13" s="16"/>
      <c r="Q13" s="17"/>
      <c r="R13" s="17"/>
      <c r="S13" s="17"/>
      <c r="T13" s="17"/>
      <c r="U13" s="17"/>
      <c r="V13" s="17"/>
      <c r="W13" s="16"/>
      <c r="X13" s="16"/>
      <c r="Y13" s="17"/>
      <c r="Z13" s="17"/>
      <c r="AA13" s="17"/>
      <c r="AB13" s="16"/>
      <c r="AC13" s="16"/>
      <c r="AD13" s="17"/>
      <c r="AE13" s="17"/>
      <c r="AF13" s="18"/>
      <c r="AG13" s="18"/>
      <c r="AH13" s="19" t="s">
        <v>79</v>
      </c>
      <c r="AI13" s="19" t="s">
        <v>79</v>
      </c>
      <c r="AJ13" s="37" t="s">
        <v>79</v>
      </c>
      <c r="AK13" s="19" t="s">
        <v>79</v>
      </c>
    </row>
    <row r="14" ht="22.5" customHeight="1">
      <c r="A14" s="15"/>
      <c r="B14" s="15"/>
      <c r="C14" s="16"/>
      <c r="D14" s="16"/>
      <c r="E14" s="17"/>
      <c r="F14" s="16"/>
      <c r="G14" s="16"/>
      <c r="H14" s="17"/>
      <c r="I14" s="16"/>
      <c r="J14" s="17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6"/>
      <c r="X14" s="16"/>
      <c r="Y14" s="17"/>
      <c r="Z14" s="17"/>
      <c r="AA14" s="17"/>
      <c r="AB14" s="16"/>
      <c r="AC14" s="16"/>
      <c r="AD14" s="17"/>
      <c r="AE14" s="17"/>
      <c r="AF14" s="18"/>
      <c r="AG14" s="18"/>
      <c r="AH14" s="19" t="s">
        <v>79</v>
      </c>
      <c r="AI14" s="19" t="s">
        <v>79</v>
      </c>
      <c r="AJ14" s="37" t="s">
        <v>79</v>
      </c>
      <c r="AK14" s="19" t="s">
        <v>79</v>
      </c>
    </row>
    <row r="15" ht="22.5" customHeight="1">
      <c r="A15" s="15"/>
      <c r="B15" s="15"/>
      <c r="C15" s="16"/>
      <c r="D15" s="16"/>
      <c r="E15" s="17"/>
      <c r="F15" s="16"/>
      <c r="G15" s="16"/>
      <c r="H15" s="17"/>
      <c r="I15" s="16"/>
      <c r="J15" s="17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6"/>
      <c r="X15" s="16"/>
      <c r="Y15" s="17"/>
      <c r="Z15" s="17"/>
      <c r="AA15" s="17"/>
      <c r="AB15" s="16"/>
      <c r="AC15" s="16"/>
      <c r="AD15" s="17"/>
      <c r="AE15" s="17"/>
      <c r="AF15" s="18"/>
      <c r="AG15" s="18"/>
      <c r="AH15" s="19" t="s">
        <v>79</v>
      </c>
      <c r="AI15" s="19" t="s">
        <v>79</v>
      </c>
      <c r="AJ15" s="37" t="s">
        <v>79</v>
      </c>
      <c r="AK15" s="19" t="s">
        <v>79</v>
      </c>
    </row>
    <row r="16" ht="22.5" customHeight="1">
      <c r="A16" s="15"/>
      <c r="B16" s="15"/>
      <c r="C16" s="16"/>
      <c r="D16" s="16"/>
      <c r="E16" s="17"/>
      <c r="F16" s="16"/>
      <c r="G16" s="16"/>
      <c r="H16" s="17"/>
      <c r="I16" s="16"/>
      <c r="J16" s="17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6"/>
      <c r="X16" s="16"/>
      <c r="Y16" s="17"/>
      <c r="Z16" s="17"/>
      <c r="AA16" s="17"/>
      <c r="AB16" s="16"/>
      <c r="AC16" s="16"/>
      <c r="AD16" s="17"/>
      <c r="AE16" s="17"/>
      <c r="AF16" s="18"/>
      <c r="AG16" s="18"/>
      <c r="AH16" s="19" t="s">
        <v>79</v>
      </c>
      <c r="AI16" s="19" t="s">
        <v>79</v>
      </c>
      <c r="AJ16" s="37" t="s">
        <v>79</v>
      </c>
      <c r="AK16" s="19" t="s">
        <v>79</v>
      </c>
    </row>
    <row r="17" ht="22.5" customHeight="1">
      <c r="A17" s="15"/>
      <c r="B17" s="15"/>
      <c r="C17" s="16"/>
      <c r="D17" s="16"/>
      <c r="E17" s="17"/>
      <c r="F17" s="16"/>
      <c r="G17" s="16"/>
      <c r="H17" s="17"/>
      <c r="I17" s="16"/>
      <c r="J17" s="17"/>
      <c r="K17" s="16"/>
      <c r="L17" s="16"/>
      <c r="M17" s="16"/>
      <c r="N17" s="16"/>
      <c r="O17" s="16"/>
      <c r="P17" s="16"/>
      <c r="Q17" s="17"/>
      <c r="R17" s="17"/>
      <c r="S17" s="17"/>
      <c r="T17" s="17"/>
      <c r="U17" s="17"/>
      <c r="V17" s="17"/>
      <c r="W17" s="16"/>
      <c r="X17" s="16"/>
      <c r="Y17" s="17"/>
      <c r="Z17" s="17"/>
      <c r="AA17" s="17"/>
      <c r="AB17" s="16"/>
      <c r="AC17" s="16"/>
      <c r="AD17" s="17"/>
      <c r="AE17" s="17"/>
      <c r="AF17" s="18"/>
      <c r="AG17" s="18"/>
      <c r="AH17" s="19" t="s">
        <v>79</v>
      </c>
      <c r="AI17" s="19" t="s">
        <v>79</v>
      </c>
      <c r="AJ17" s="37" t="s">
        <v>79</v>
      </c>
      <c r="AK17" s="19" t="s">
        <v>79</v>
      </c>
    </row>
    <row r="18" ht="22.5" customHeight="1">
      <c r="A18" s="15"/>
      <c r="B18" s="15"/>
      <c r="C18" s="16"/>
      <c r="D18" s="16"/>
      <c r="E18" s="17"/>
      <c r="F18" s="16"/>
      <c r="G18" s="16"/>
      <c r="H18" s="17"/>
      <c r="I18" s="16"/>
      <c r="J18" s="17"/>
      <c r="K18" s="16"/>
      <c r="L18" s="16"/>
      <c r="M18" s="16"/>
      <c r="N18" s="16"/>
      <c r="O18" s="16"/>
      <c r="P18" s="16"/>
      <c r="Q18" s="17"/>
      <c r="R18" s="17"/>
      <c r="S18" s="17"/>
      <c r="T18" s="17"/>
      <c r="U18" s="17"/>
      <c r="V18" s="17"/>
      <c r="W18" s="16"/>
      <c r="X18" s="16"/>
      <c r="Y18" s="17"/>
      <c r="Z18" s="17"/>
      <c r="AA18" s="17"/>
      <c r="AB18" s="16"/>
      <c r="AC18" s="16"/>
      <c r="AD18" s="17"/>
      <c r="AE18" s="17"/>
      <c r="AF18" s="18"/>
      <c r="AG18" s="18"/>
      <c r="AH18" s="19" t="s">
        <v>79</v>
      </c>
      <c r="AI18" s="19" t="s">
        <v>79</v>
      </c>
      <c r="AJ18" s="37" t="s">
        <v>79</v>
      </c>
      <c r="AK18" s="19" t="s">
        <v>79</v>
      </c>
    </row>
    <row r="19" ht="22.5" customHeight="1">
      <c r="A19" s="15"/>
      <c r="B19" s="15"/>
      <c r="C19" s="16"/>
      <c r="D19" s="16"/>
      <c r="E19" s="17"/>
      <c r="F19" s="16"/>
      <c r="G19" s="16"/>
      <c r="H19" s="17"/>
      <c r="I19" s="16"/>
      <c r="J19" s="17"/>
      <c r="K19" s="16"/>
      <c r="L19" s="16"/>
      <c r="M19" s="16"/>
      <c r="N19" s="16"/>
      <c r="O19" s="16"/>
      <c r="P19" s="16"/>
      <c r="Q19" s="17"/>
      <c r="R19" s="17"/>
      <c r="S19" s="17"/>
      <c r="T19" s="17"/>
      <c r="U19" s="17"/>
      <c r="V19" s="17"/>
      <c r="W19" s="16"/>
      <c r="X19" s="16"/>
      <c r="Y19" s="17"/>
      <c r="Z19" s="17"/>
      <c r="AA19" s="17"/>
      <c r="AB19" s="16"/>
      <c r="AC19" s="16"/>
      <c r="AD19" s="17"/>
      <c r="AE19" s="17"/>
      <c r="AF19" s="18"/>
      <c r="AG19" s="18"/>
      <c r="AH19" s="19" t="s">
        <v>79</v>
      </c>
      <c r="AI19" s="19" t="s">
        <v>79</v>
      </c>
      <c r="AJ19" s="37" t="s">
        <v>79</v>
      </c>
      <c r="AK19" s="19" t="s">
        <v>79</v>
      </c>
    </row>
    <row r="20" ht="22.5" customHeight="1">
      <c r="A20" s="15"/>
      <c r="B20" s="15"/>
      <c r="C20" s="16"/>
      <c r="D20" s="16"/>
      <c r="E20" s="17"/>
      <c r="F20" s="16"/>
      <c r="G20" s="16"/>
      <c r="H20" s="17"/>
      <c r="I20" s="16"/>
      <c r="J20" s="17"/>
      <c r="K20" s="16"/>
      <c r="L20" s="16"/>
      <c r="M20" s="16"/>
      <c r="N20" s="16"/>
      <c r="O20" s="16"/>
      <c r="P20" s="16"/>
      <c r="Q20" s="17"/>
      <c r="R20" s="17"/>
      <c r="S20" s="17"/>
      <c r="T20" s="17"/>
      <c r="U20" s="17"/>
      <c r="V20" s="17"/>
      <c r="W20" s="16"/>
      <c r="X20" s="16"/>
      <c r="Y20" s="17"/>
      <c r="Z20" s="17"/>
      <c r="AA20" s="17"/>
      <c r="AB20" s="16"/>
      <c r="AC20" s="16"/>
      <c r="AD20" s="17"/>
      <c r="AE20" s="17"/>
      <c r="AF20" s="18"/>
      <c r="AG20" s="18"/>
      <c r="AH20" s="19" t="s">
        <v>79</v>
      </c>
      <c r="AI20" s="19" t="s">
        <v>79</v>
      </c>
      <c r="AJ20" s="37" t="s">
        <v>79</v>
      </c>
      <c r="AK20" s="19" t="s">
        <v>79</v>
      </c>
    </row>
    <row r="21" ht="22.5" customHeight="1">
      <c r="A21" s="15"/>
      <c r="B21" s="15"/>
      <c r="C21" s="16"/>
      <c r="D21" s="16"/>
      <c r="E21" s="17"/>
      <c r="F21" s="16"/>
      <c r="G21" s="16"/>
      <c r="H21" s="17"/>
      <c r="I21" s="16"/>
      <c r="J21" s="17"/>
      <c r="K21" s="16"/>
      <c r="L21" s="16"/>
      <c r="M21" s="16"/>
      <c r="N21" s="16"/>
      <c r="O21" s="16"/>
      <c r="P21" s="16"/>
      <c r="Q21" s="17"/>
      <c r="R21" s="17"/>
      <c r="S21" s="17"/>
      <c r="T21" s="17"/>
      <c r="U21" s="17"/>
      <c r="V21" s="17"/>
      <c r="W21" s="16"/>
      <c r="X21" s="16"/>
      <c r="Y21" s="17"/>
      <c r="Z21" s="17"/>
      <c r="AA21" s="17"/>
      <c r="AB21" s="16"/>
      <c r="AC21" s="16"/>
      <c r="AD21" s="17"/>
      <c r="AE21" s="17"/>
      <c r="AF21" s="18"/>
      <c r="AG21" s="18"/>
      <c r="AH21" s="19" t="s">
        <v>79</v>
      </c>
      <c r="AI21" s="19" t="s">
        <v>79</v>
      </c>
      <c r="AJ21" s="37" t="s">
        <v>79</v>
      </c>
      <c r="AK21" s="19" t="s">
        <v>79</v>
      </c>
    </row>
    <row r="22" ht="22.5" customHeight="1">
      <c r="A22" s="15"/>
      <c r="B22" s="15"/>
      <c r="C22" s="16"/>
      <c r="D22" s="16"/>
      <c r="E22" s="17"/>
      <c r="F22" s="16"/>
      <c r="G22" s="16"/>
      <c r="H22" s="17"/>
      <c r="I22" s="16"/>
      <c r="J22" s="17"/>
      <c r="K22" s="16"/>
      <c r="L22" s="16"/>
      <c r="M22" s="16"/>
      <c r="N22" s="16"/>
      <c r="O22" s="16"/>
      <c r="P22" s="16"/>
      <c r="Q22" s="17"/>
      <c r="R22" s="17"/>
      <c r="S22" s="17"/>
      <c r="T22" s="17"/>
      <c r="U22" s="17"/>
      <c r="V22" s="17"/>
      <c r="W22" s="16"/>
      <c r="X22" s="16"/>
      <c r="Y22" s="17"/>
      <c r="Z22" s="17"/>
      <c r="AA22" s="17"/>
      <c r="AB22" s="16"/>
      <c r="AC22" s="16"/>
      <c r="AD22" s="17"/>
      <c r="AE22" s="17"/>
      <c r="AF22" s="18"/>
      <c r="AG22" s="18"/>
      <c r="AH22" s="19" t="s">
        <v>79</v>
      </c>
      <c r="AI22" s="19" t="s">
        <v>79</v>
      </c>
      <c r="AJ22" s="37" t="s">
        <v>79</v>
      </c>
      <c r="AK22" s="19" t="s">
        <v>79</v>
      </c>
    </row>
    <row r="23" ht="22.5" customHeight="1">
      <c r="A23" s="15"/>
      <c r="B23" s="15"/>
      <c r="C23" s="16"/>
      <c r="D23" s="16"/>
      <c r="E23" s="17"/>
      <c r="F23" s="16"/>
      <c r="G23" s="16"/>
      <c r="H23" s="17"/>
      <c r="I23" s="16"/>
      <c r="J23" s="17"/>
      <c r="K23" s="16"/>
      <c r="L23" s="16"/>
      <c r="M23" s="16"/>
      <c r="N23" s="16"/>
      <c r="O23" s="16"/>
      <c r="P23" s="16"/>
      <c r="Q23" s="17"/>
      <c r="R23" s="17"/>
      <c r="S23" s="17"/>
      <c r="T23" s="17"/>
      <c r="U23" s="17"/>
      <c r="V23" s="17"/>
      <c r="W23" s="16"/>
      <c r="X23" s="16"/>
      <c r="Y23" s="17"/>
      <c r="Z23" s="17"/>
      <c r="AA23" s="17"/>
      <c r="AB23" s="16"/>
      <c r="AC23" s="16"/>
      <c r="AD23" s="17"/>
      <c r="AE23" s="17"/>
      <c r="AF23" s="18"/>
      <c r="AG23" s="18"/>
      <c r="AH23" s="19" t="s">
        <v>79</v>
      </c>
      <c r="AI23" s="19" t="s">
        <v>79</v>
      </c>
      <c r="AJ23" s="37" t="s">
        <v>79</v>
      </c>
      <c r="AK23" s="19" t="s">
        <v>79</v>
      </c>
    </row>
    <row r="24" ht="22.5" customHeight="1">
      <c r="A24" s="15"/>
      <c r="B24" s="15"/>
      <c r="C24" s="16"/>
      <c r="D24" s="16"/>
      <c r="E24" s="17"/>
      <c r="F24" s="16"/>
      <c r="G24" s="16"/>
      <c r="H24" s="17"/>
      <c r="I24" s="16"/>
      <c r="J24" s="17"/>
      <c r="K24" s="16"/>
      <c r="L24" s="16"/>
      <c r="M24" s="16"/>
      <c r="N24" s="16"/>
      <c r="O24" s="16"/>
      <c r="P24" s="16"/>
      <c r="Q24" s="17"/>
      <c r="R24" s="17"/>
      <c r="S24" s="17"/>
      <c r="T24" s="17"/>
      <c r="U24" s="17"/>
      <c r="V24" s="17"/>
      <c r="W24" s="16"/>
      <c r="X24" s="16"/>
      <c r="Y24" s="17"/>
      <c r="Z24" s="17"/>
      <c r="AA24" s="17"/>
      <c r="AB24" s="16"/>
      <c r="AC24" s="16"/>
      <c r="AD24" s="17"/>
      <c r="AE24" s="17"/>
      <c r="AF24" s="18"/>
      <c r="AG24" s="18"/>
      <c r="AH24" s="19" t="s">
        <v>79</v>
      </c>
      <c r="AI24" s="19" t="s">
        <v>79</v>
      </c>
      <c r="AJ24" s="37" t="s">
        <v>79</v>
      </c>
      <c r="AK24" s="19" t="s">
        <v>79</v>
      </c>
    </row>
    <row r="25" ht="22.5" customHeight="1">
      <c r="A25" s="15"/>
      <c r="B25" s="15"/>
      <c r="C25" s="16"/>
      <c r="D25" s="16"/>
      <c r="E25" s="17"/>
      <c r="F25" s="16"/>
      <c r="G25" s="16"/>
      <c r="H25" s="17"/>
      <c r="I25" s="16"/>
      <c r="J25" s="17"/>
      <c r="K25" s="16"/>
      <c r="L25" s="16"/>
      <c r="M25" s="16"/>
      <c r="N25" s="16"/>
      <c r="O25" s="16"/>
      <c r="P25" s="16"/>
      <c r="Q25" s="17"/>
      <c r="R25" s="17"/>
      <c r="S25" s="17"/>
      <c r="T25" s="17"/>
      <c r="U25" s="17"/>
      <c r="V25" s="17"/>
      <c r="W25" s="16"/>
      <c r="X25" s="16"/>
      <c r="Y25" s="17"/>
      <c r="Z25" s="17"/>
      <c r="AA25" s="17"/>
      <c r="AB25" s="16"/>
      <c r="AC25" s="16"/>
      <c r="AD25" s="17"/>
      <c r="AE25" s="17"/>
      <c r="AF25" s="18"/>
      <c r="AG25" s="18"/>
      <c r="AH25" s="19" t="s">
        <v>79</v>
      </c>
      <c r="AI25" s="19" t="s">
        <v>79</v>
      </c>
      <c r="AJ25" s="37" t="s">
        <v>79</v>
      </c>
      <c r="AK25" s="19" t="s">
        <v>79</v>
      </c>
    </row>
    <row r="26" ht="22.5" customHeight="1">
      <c r="A26" s="15"/>
      <c r="B26" s="15"/>
      <c r="C26" s="16"/>
      <c r="D26" s="16"/>
      <c r="E26" s="17"/>
      <c r="F26" s="16"/>
      <c r="G26" s="16"/>
      <c r="H26" s="17"/>
      <c r="I26" s="16"/>
      <c r="J26" s="17"/>
      <c r="K26" s="16"/>
      <c r="L26" s="16"/>
      <c r="M26" s="16"/>
      <c r="N26" s="16"/>
      <c r="O26" s="16"/>
      <c r="P26" s="16"/>
      <c r="Q26" s="17"/>
      <c r="R26" s="17"/>
      <c r="S26" s="17"/>
      <c r="T26" s="17"/>
      <c r="U26" s="17"/>
      <c r="V26" s="17"/>
      <c r="W26" s="16"/>
      <c r="X26" s="16"/>
      <c r="Y26" s="17"/>
      <c r="Z26" s="17"/>
      <c r="AA26" s="17"/>
      <c r="AB26" s="16"/>
      <c r="AC26" s="16"/>
      <c r="AD26" s="17"/>
      <c r="AE26" s="17"/>
      <c r="AF26" s="18"/>
      <c r="AG26" s="18"/>
      <c r="AH26" s="19" t="s">
        <v>79</v>
      </c>
      <c r="AI26" s="19" t="s">
        <v>79</v>
      </c>
      <c r="AJ26" s="37" t="s">
        <v>79</v>
      </c>
      <c r="AK26" s="19" t="s">
        <v>79</v>
      </c>
    </row>
    <row r="27" ht="22.5" customHeight="1">
      <c r="A27" s="15"/>
      <c r="B27" s="15"/>
      <c r="C27" s="16"/>
      <c r="D27" s="16"/>
      <c r="E27" s="17"/>
      <c r="F27" s="16"/>
      <c r="G27" s="16"/>
      <c r="H27" s="17"/>
      <c r="I27" s="16"/>
      <c r="J27" s="17"/>
      <c r="K27" s="16"/>
      <c r="L27" s="16"/>
      <c r="M27" s="16"/>
      <c r="N27" s="16"/>
      <c r="O27" s="16"/>
      <c r="P27" s="16"/>
      <c r="Q27" s="17"/>
      <c r="R27" s="17"/>
      <c r="S27" s="17"/>
      <c r="T27" s="17"/>
      <c r="U27" s="17"/>
      <c r="V27" s="17"/>
      <c r="W27" s="16"/>
      <c r="X27" s="16"/>
      <c r="Y27" s="17"/>
      <c r="Z27" s="17"/>
      <c r="AA27" s="17"/>
      <c r="AB27" s="16"/>
      <c r="AC27" s="16"/>
      <c r="AD27" s="17"/>
      <c r="AE27" s="17"/>
      <c r="AF27" s="18"/>
      <c r="AG27" s="18"/>
      <c r="AH27" s="19" t="s">
        <v>79</v>
      </c>
      <c r="AI27" s="19" t="s">
        <v>79</v>
      </c>
      <c r="AJ27" s="37" t="s">
        <v>79</v>
      </c>
      <c r="AK27" s="19" t="s">
        <v>79</v>
      </c>
    </row>
    <row r="28" ht="22.5" customHeight="1">
      <c r="A28" s="15"/>
      <c r="B28" s="15"/>
      <c r="C28" s="16"/>
      <c r="D28" s="16"/>
      <c r="E28" s="17"/>
      <c r="F28" s="16"/>
      <c r="G28" s="16"/>
      <c r="H28" s="17"/>
      <c r="I28" s="16"/>
      <c r="J28" s="17"/>
      <c r="K28" s="16"/>
      <c r="L28" s="16"/>
      <c r="M28" s="16"/>
      <c r="N28" s="16"/>
      <c r="O28" s="16"/>
      <c r="P28" s="16"/>
      <c r="Q28" s="17"/>
      <c r="R28" s="17"/>
      <c r="S28" s="17"/>
      <c r="T28" s="17"/>
      <c r="U28" s="17"/>
      <c r="V28" s="17"/>
      <c r="W28" s="16"/>
      <c r="X28" s="16"/>
      <c r="Y28" s="17"/>
      <c r="Z28" s="17"/>
      <c r="AA28" s="17"/>
      <c r="AB28" s="16"/>
      <c r="AC28" s="16"/>
      <c r="AD28" s="17"/>
      <c r="AE28" s="17"/>
      <c r="AF28" s="18"/>
      <c r="AG28" s="18"/>
      <c r="AH28" s="19" t="s">
        <v>79</v>
      </c>
      <c r="AI28" s="19" t="s">
        <v>79</v>
      </c>
      <c r="AJ28" s="37" t="s">
        <v>79</v>
      </c>
      <c r="AK28" s="19" t="s">
        <v>79</v>
      </c>
    </row>
    <row r="29" ht="22.5" customHeight="1">
      <c r="A29" s="15"/>
      <c r="B29" s="15"/>
      <c r="C29" s="16"/>
      <c r="D29" s="16"/>
      <c r="E29" s="17"/>
      <c r="F29" s="16"/>
      <c r="G29" s="16"/>
      <c r="H29" s="17"/>
      <c r="I29" s="16"/>
      <c r="J29" s="17"/>
      <c r="K29" s="16"/>
      <c r="L29" s="16"/>
      <c r="M29" s="16"/>
      <c r="N29" s="16"/>
      <c r="O29" s="16"/>
      <c r="P29" s="16"/>
      <c r="Q29" s="17"/>
      <c r="R29" s="17"/>
      <c r="S29" s="17"/>
      <c r="T29" s="17"/>
      <c r="U29" s="17"/>
      <c r="V29" s="17"/>
      <c r="W29" s="16"/>
      <c r="X29" s="16"/>
      <c r="Y29" s="17"/>
      <c r="Z29" s="17"/>
      <c r="AA29" s="17"/>
      <c r="AB29" s="16"/>
      <c r="AC29" s="16"/>
      <c r="AD29" s="17"/>
      <c r="AE29" s="17"/>
      <c r="AF29" s="18"/>
      <c r="AG29" s="18"/>
      <c r="AH29" s="19" t="s">
        <v>79</v>
      </c>
      <c r="AI29" s="19" t="s">
        <v>79</v>
      </c>
      <c r="AJ29" s="37" t="s">
        <v>79</v>
      </c>
      <c r="AK29" s="19" t="s">
        <v>79</v>
      </c>
    </row>
    <row r="30" ht="22.5" customHeight="1">
      <c r="A30" s="15"/>
      <c r="B30" s="15"/>
      <c r="C30" s="16"/>
      <c r="D30" s="16"/>
      <c r="E30" s="17"/>
      <c r="F30" s="16"/>
      <c r="G30" s="16"/>
      <c r="H30" s="17"/>
      <c r="I30" s="16"/>
      <c r="J30" s="17"/>
      <c r="K30" s="16"/>
      <c r="L30" s="16"/>
      <c r="M30" s="16"/>
      <c r="N30" s="16"/>
      <c r="O30" s="16"/>
      <c r="P30" s="16"/>
      <c r="Q30" s="17"/>
      <c r="R30" s="17"/>
      <c r="S30" s="17"/>
      <c r="T30" s="17"/>
      <c r="U30" s="17"/>
      <c r="V30" s="17"/>
      <c r="W30" s="16"/>
      <c r="X30" s="16"/>
      <c r="Y30" s="17"/>
      <c r="Z30" s="17"/>
      <c r="AA30" s="17"/>
      <c r="AB30" s="16"/>
      <c r="AC30" s="16"/>
      <c r="AD30" s="17"/>
      <c r="AE30" s="17"/>
      <c r="AF30" s="18"/>
      <c r="AG30" s="18"/>
      <c r="AH30" s="19" t="s">
        <v>79</v>
      </c>
      <c r="AI30" s="19" t="s">
        <v>79</v>
      </c>
      <c r="AJ30" s="37" t="s">
        <v>79</v>
      </c>
      <c r="AK30" s="19" t="s">
        <v>79</v>
      </c>
    </row>
    <row r="31" ht="22.5" customHeight="1">
      <c r="A31" s="15"/>
      <c r="B31" s="15"/>
      <c r="C31" s="16"/>
      <c r="D31" s="16"/>
      <c r="E31" s="17"/>
      <c r="F31" s="16"/>
      <c r="G31" s="16"/>
      <c r="H31" s="17"/>
      <c r="I31" s="16"/>
      <c r="J31" s="17"/>
      <c r="K31" s="16"/>
      <c r="L31" s="16"/>
      <c r="M31" s="16"/>
      <c r="N31" s="16"/>
      <c r="O31" s="16"/>
      <c r="P31" s="16"/>
      <c r="Q31" s="17"/>
      <c r="R31" s="17"/>
      <c r="S31" s="17"/>
      <c r="T31" s="17"/>
      <c r="U31" s="17"/>
      <c r="V31" s="17"/>
      <c r="W31" s="16"/>
      <c r="X31" s="16"/>
      <c r="Y31" s="17"/>
      <c r="Z31" s="17"/>
      <c r="AA31" s="17"/>
      <c r="AB31" s="16"/>
      <c r="AC31" s="16"/>
      <c r="AD31" s="17"/>
      <c r="AE31" s="17"/>
      <c r="AF31" s="18"/>
      <c r="AG31" s="18"/>
      <c r="AH31" s="19" t="s">
        <v>79</v>
      </c>
      <c r="AI31" s="19" t="s">
        <v>79</v>
      </c>
      <c r="AJ31" s="37" t="s">
        <v>79</v>
      </c>
      <c r="AK31" s="19" t="s">
        <v>79</v>
      </c>
    </row>
    <row r="32" ht="22.5" customHeight="1">
      <c r="A32" s="15"/>
      <c r="B32" s="15"/>
      <c r="C32" s="16"/>
      <c r="D32" s="16"/>
      <c r="E32" s="17"/>
      <c r="F32" s="16"/>
      <c r="G32" s="16"/>
      <c r="H32" s="17"/>
      <c r="I32" s="16"/>
      <c r="J32" s="17"/>
      <c r="K32" s="16"/>
      <c r="L32" s="16"/>
      <c r="M32" s="16"/>
      <c r="N32" s="16"/>
      <c r="O32" s="16"/>
      <c r="P32" s="16"/>
      <c r="Q32" s="17"/>
      <c r="R32" s="17"/>
      <c r="S32" s="17"/>
      <c r="T32" s="17"/>
      <c r="U32" s="17"/>
      <c r="V32" s="17"/>
      <c r="W32" s="16"/>
      <c r="X32" s="16"/>
      <c r="Y32" s="17"/>
      <c r="Z32" s="17"/>
      <c r="AA32" s="17"/>
      <c r="AB32" s="16"/>
      <c r="AC32" s="16"/>
      <c r="AD32" s="17"/>
      <c r="AE32" s="17"/>
      <c r="AF32" s="18"/>
      <c r="AG32" s="18"/>
      <c r="AH32" s="19" t="s">
        <v>79</v>
      </c>
      <c r="AI32" s="19" t="s">
        <v>79</v>
      </c>
      <c r="AJ32" s="37" t="s">
        <v>79</v>
      </c>
      <c r="AK32" s="19" t="s">
        <v>79</v>
      </c>
    </row>
    <row r="33" ht="22.5" customHeight="1">
      <c r="A33" s="15"/>
      <c r="B33" s="15"/>
      <c r="C33" s="16"/>
      <c r="D33" s="16"/>
      <c r="E33" s="17"/>
      <c r="F33" s="16"/>
      <c r="G33" s="16"/>
      <c r="H33" s="17"/>
      <c r="I33" s="16"/>
      <c r="J33" s="17"/>
      <c r="K33" s="16"/>
      <c r="L33" s="16"/>
      <c r="M33" s="16"/>
      <c r="N33" s="16"/>
      <c r="O33" s="16"/>
      <c r="P33" s="16"/>
      <c r="Q33" s="17"/>
      <c r="R33" s="17"/>
      <c r="S33" s="17"/>
      <c r="T33" s="17"/>
      <c r="U33" s="17"/>
      <c r="V33" s="17"/>
      <c r="W33" s="16"/>
      <c r="X33" s="16"/>
      <c r="Y33" s="17"/>
      <c r="Z33" s="17"/>
      <c r="AA33" s="17"/>
      <c r="AB33" s="16"/>
      <c r="AC33" s="16"/>
      <c r="AD33" s="17"/>
      <c r="AE33" s="17"/>
      <c r="AF33" s="18"/>
      <c r="AG33" s="18"/>
      <c r="AH33" s="19" t="s">
        <v>79</v>
      </c>
      <c r="AI33" s="19" t="s">
        <v>79</v>
      </c>
      <c r="AJ33" s="37" t="s">
        <v>79</v>
      </c>
      <c r="AK33" s="19" t="s">
        <v>79</v>
      </c>
    </row>
    <row r="34" ht="22.5" customHeight="1">
      <c r="A34" s="15"/>
      <c r="B34" s="15"/>
      <c r="C34" s="16"/>
      <c r="D34" s="16"/>
      <c r="E34" s="17"/>
      <c r="F34" s="16"/>
      <c r="G34" s="16"/>
      <c r="H34" s="17"/>
      <c r="I34" s="16"/>
      <c r="J34" s="17"/>
      <c r="K34" s="16"/>
      <c r="L34" s="16"/>
      <c r="M34" s="16"/>
      <c r="N34" s="16"/>
      <c r="O34" s="16"/>
      <c r="P34" s="16"/>
      <c r="Q34" s="17"/>
      <c r="R34" s="17"/>
      <c r="S34" s="17"/>
      <c r="T34" s="17"/>
      <c r="U34" s="17"/>
      <c r="V34" s="17"/>
      <c r="W34" s="16"/>
      <c r="X34" s="16"/>
      <c r="Y34" s="17"/>
      <c r="Z34" s="17"/>
      <c r="AA34" s="17"/>
      <c r="AB34" s="16"/>
      <c r="AC34" s="16"/>
      <c r="AD34" s="17"/>
      <c r="AE34" s="17"/>
      <c r="AF34" s="18"/>
      <c r="AG34" s="18"/>
      <c r="AH34" s="19" t="s">
        <v>79</v>
      </c>
      <c r="AI34" s="19" t="s">
        <v>79</v>
      </c>
      <c r="AJ34" s="37" t="s">
        <v>79</v>
      </c>
      <c r="AK34" s="19" t="s">
        <v>79</v>
      </c>
    </row>
    <row r="35" ht="22.5" customHeight="1">
      <c r="A35" s="15"/>
      <c r="B35" s="15"/>
      <c r="C35" s="16"/>
      <c r="D35" s="16"/>
      <c r="E35" s="17"/>
      <c r="F35" s="16"/>
      <c r="G35" s="16"/>
      <c r="H35" s="17"/>
      <c r="I35" s="16"/>
      <c r="J35" s="17"/>
      <c r="K35" s="16"/>
      <c r="L35" s="16"/>
      <c r="M35" s="16"/>
      <c r="N35" s="16"/>
      <c r="O35" s="16"/>
      <c r="P35" s="16"/>
      <c r="Q35" s="17"/>
      <c r="R35" s="17"/>
      <c r="S35" s="17"/>
      <c r="T35" s="17"/>
      <c r="U35" s="17"/>
      <c r="V35" s="17"/>
      <c r="W35" s="16"/>
      <c r="X35" s="16"/>
      <c r="Y35" s="17"/>
      <c r="Z35" s="17"/>
      <c r="AA35" s="17"/>
      <c r="AB35" s="16"/>
      <c r="AC35" s="16"/>
      <c r="AD35" s="17"/>
      <c r="AE35" s="17"/>
      <c r="AF35" s="18"/>
      <c r="AG35" s="18"/>
      <c r="AH35" s="19" t="s">
        <v>79</v>
      </c>
      <c r="AI35" s="19" t="s">
        <v>79</v>
      </c>
      <c r="AJ35" s="37" t="s">
        <v>79</v>
      </c>
      <c r="AK35" s="19" t="s">
        <v>79</v>
      </c>
    </row>
    <row r="36" ht="22.5" customHeight="1">
      <c r="A36" s="15"/>
      <c r="B36" s="15"/>
      <c r="C36" s="16"/>
      <c r="D36" s="16"/>
      <c r="E36" s="17"/>
      <c r="F36" s="16"/>
      <c r="G36" s="16"/>
      <c r="H36" s="17"/>
      <c r="I36" s="16"/>
      <c r="J36" s="17"/>
      <c r="K36" s="16"/>
      <c r="L36" s="16"/>
      <c r="M36" s="16"/>
      <c r="N36" s="16"/>
      <c r="O36" s="16"/>
      <c r="P36" s="16"/>
      <c r="Q36" s="17"/>
      <c r="R36" s="17"/>
      <c r="S36" s="17"/>
      <c r="T36" s="17"/>
      <c r="U36" s="17"/>
      <c r="V36" s="17"/>
      <c r="W36" s="16"/>
      <c r="X36" s="16"/>
      <c r="Y36" s="17"/>
      <c r="Z36" s="17"/>
      <c r="AA36" s="17"/>
      <c r="AB36" s="16"/>
      <c r="AC36" s="16"/>
      <c r="AD36" s="17"/>
      <c r="AE36" s="17"/>
      <c r="AF36" s="18"/>
      <c r="AG36" s="18"/>
      <c r="AH36" s="19" t="s">
        <v>79</v>
      </c>
      <c r="AI36" s="19" t="s">
        <v>79</v>
      </c>
      <c r="AJ36" s="37" t="s">
        <v>79</v>
      </c>
      <c r="AK36" s="19" t="s">
        <v>79</v>
      </c>
    </row>
    <row r="37" ht="22.5" customHeight="1">
      <c r="A37" s="15"/>
      <c r="B37" s="15"/>
      <c r="C37" s="16"/>
      <c r="D37" s="16"/>
      <c r="E37" s="17"/>
      <c r="F37" s="16"/>
      <c r="G37" s="16"/>
      <c r="H37" s="17"/>
      <c r="I37" s="16"/>
      <c r="J37" s="17"/>
      <c r="K37" s="16"/>
      <c r="L37" s="16"/>
      <c r="M37" s="16"/>
      <c r="N37" s="16"/>
      <c r="O37" s="16"/>
      <c r="P37" s="16"/>
      <c r="Q37" s="17"/>
      <c r="R37" s="17"/>
      <c r="S37" s="17"/>
      <c r="T37" s="17"/>
      <c r="U37" s="17"/>
      <c r="V37" s="17"/>
      <c r="W37" s="16"/>
      <c r="X37" s="16"/>
      <c r="Y37" s="17"/>
      <c r="Z37" s="17"/>
      <c r="AA37" s="17"/>
      <c r="AB37" s="16"/>
      <c r="AC37" s="16"/>
      <c r="AD37" s="17"/>
      <c r="AE37" s="17"/>
      <c r="AF37" s="18"/>
      <c r="AG37" s="18"/>
      <c r="AH37" s="19" t="s">
        <v>79</v>
      </c>
      <c r="AI37" s="19" t="s">
        <v>79</v>
      </c>
      <c r="AJ37" s="37" t="s">
        <v>79</v>
      </c>
      <c r="AK37" s="19" t="s">
        <v>79</v>
      </c>
    </row>
    <row r="38" ht="22.5" customHeight="1">
      <c r="A38" s="15"/>
      <c r="B38" s="15"/>
      <c r="C38" s="16"/>
      <c r="D38" s="16"/>
      <c r="E38" s="17"/>
      <c r="F38" s="16"/>
      <c r="G38" s="16"/>
      <c r="H38" s="17"/>
      <c r="I38" s="16"/>
      <c r="J38" s="17"/>
      <c r="K38" s="16"/>
      <c r="L38" s="16"/>
      <c r="M38" s="16"/>
      <c r="N38" s="16"/>
      <c r="O38" s="16"/>
      <c r="P38" s="16"/>
      <c r="Q38" s="17"/>
      <c r="R38" s="17"/>
      <c r="S38" s="17"/>
      <c r="T38" s="17"/>
      <c r="U38" s="17"/>
      <c r="V38" s="17"/>
      <c r="W38" s="16"/>
      <c r="X38" s="16"/>
      <c r="Y38" s="17"/>
      <c r="Z38" s="17"/>
      <c r="AA38" s="17"/>
      <c r="AB38" s="16"/>
      <c r="AC38" s="16"/>
      <c r="AD38" s="17"/>
      <c r="AE38" s="17"/>
      <c r="AF38" s="18"/>
      <c r="AG38" s="18"/>
      <c r="AH38" s="19" t="s">
        <v>79</v>
      </c>
      <c r="AI38" s="19" t="s">
        <v>79</v>
      </c>
      <c r="AJ38" s="37" t="s">
        <v>79</v>
      </c>
      <c r="AK38" s="19" t="s">
        <v>79</v>
      </c>
    </row>
    <row r="39" ht="22.5" customHeight="1">
      <c r="A39" s="15"/>
      <c r="B39" s="15"/>
      <c r="C39" s="16"/>
      <c r="D39" s="16"/>
      <c r="E39" s="17"/>
      <c r="F39" s="16"/>
      <c r="G39" s="16"/>
      <c r="H39" s="17"/>
      <c r="I39" s="16"/>
      <c r="J39" s="17"/>
      <c r="K39" s="16"/>
      <c r="L39" s="16"/>
      <c r="M39" s="16"/>
      <c r="N39" s="16"/>
      <c r="O39" s="16"/>
      <c r="P39" s="16"/>
      <c r="Q39" s="17"/>
      <c r="R39" s="17"/>
      <c r="S39" s="17"/>
      <c r="T39" s="17"/>
      <c r="U39" s="17"/>
      <c r="V39" s="17"/>
      <c r="W39" s="16"/>
      <c r="X39" s="16"/>
      <c r="Y39" s="17"/>
      <c r="Z39" s="17"/>
      <c r="AA39" s="17"/>
      <c r="AB39" s="16"/>
      <c r="AC39" s="16"/>
      <c r="AD39" s="17"/>
      <c r="AE39" s="17"/>
      <c r="AF39" s="18"/>
      <c r="AG39" s="18"/>
      <c r="AH39" s="19" t="s">
        <v>79</v>
      </c>
      <c r="AI39" s="19" t="s">
        <v>79</v>
      </c>
      <c r="AJ39" s="37" t="s">
        <v>79</v>
      </c>
      <c r="AK39" s="19" t="s">
        <v>79</v>
      </c>
    </row>
    <row r="40" ht="22.5" customHeight="1">
      <c r="A40" s="15"/>
      <c r="B40" s="15"/>
      <c r="C40" s="16"/>
      <c r="D40" s="16"/>
      <c r="E40" s="17"/>
      <c r="F40" s="16"/>
      <c r="G40" s="16"/>
      <c r="H40" s="17"/>
      <c r="I40" s="16"/>
      <c r="J40" s="17"/>
      <c r="K40" s="16"/>
      <c r="L40" s="16"/>
      <c r="M40" s="16"/>
      <c r="N40" s="16"/>
      <c r="O40" s="16"/>
      <c r="P40" s="16"/>
      <c r="Q40" s="17"/>
      <c r="R40" s="17"/>
      <c r="S40" s="17"/>
      <c r="T40" s="17"/>
      <c r="U40" s="17"/>
      <c r="V40" s="17"/>
      <c r="W40" s="16"/>
      <c r="X40" s="16"/>
      <c r="Y40" s="17"/>
      <c r="Z40" s="17"/>
      <c r="AA40" s="17"/>
      <c r="AB40" s="16"/>
      <c r="AC40" s="16"/>
      <c r="AD40" s="17"/>
      <c r="AE40" s="17"/>
      <c r="AF40" s="18"/>
      <c r="AG40" s="18"/>
      <c r="AH40" s="19" t="s">
        <v>79</v>
      </c>
      <c r="AI40" s="19" t="s">
        <v>79</v>
      </c>
      <c r="AJ40" s="37" t="s">
        <v>79</v>
      </c>
      <c r="AK40" s="19" t="s">
        <v>79</v>
      </c>
    </row>
    <row r="41" ht="22.5" customHeight="1">
      <c r="A41" s="15"/>
      <c r="B41" s="15"/>
      <c r="C41" s="16"/>
      <c r="D41" s="16"/>
      <c r="E41" s="17"/>
      <c r="F41" s="16"/>
      <c r="G41" s="16"/>
      <c r="H41" s="17"/>
      <c r="I41" s="16"/>
      <c r="J41" s="17"/>
      <c r="K41" s="16"/>
      <c r="L41" s="16"/>
      <c r="M41" s="16"/>
      <c r="N41" s="16"/>
      <c r="O41" s="16"/>
      <c r="P41" s="16"/>
      <c r="Q41" s="17"/>
      <c r="R41" s="17"/>
      <c r="S41" s="17"/>
      <c r="T41" s="17"/>
      <c r="U41" s="17"/>
      <c r="V41" s="17"/>
      <c r="W41" s="16"/>
      <c r="X41" s="16"/>
      <c r="Y41" s="17"/>
      <c r="Z41" s="17"/>
      <c r="AA41" s="17"/>
      <c r="AB41" s="16"/>
      <c r="AC41" s="16"/>
      <c r="AD41" s="17"/>
      <c r="AE41" s="17"/>
      <c r="AF41" s="18"/>
      <c r="AG41" s="18"/>
      <c r="AH41" s="19" t="s">
        <v>79</v>
      </c>
      <c r="AI41" s="19" t="s">
        <v>79</v>
      </c>
      <c r="AJ41" s="37" t="s">
        <v>79</v>
      </c>
      <c r="AK41" s="19" t="s">
        <v>79</v>
      </c>
    </row>
    <row r="42" ht="22.5" customHeight="1">
      <c r="A42" s="15"/>
      <c r="B42" s="15"/>
      <c r="C42" s="16"/>
      <c r="D42" s="16"/>
      <c r="E42" s="17"/>
      <c r="F42" s="16"/>
      <c r="G42" s="16"/>
      <c r="H42" s="17"/>
      <c r="I42" s="16"/>
      <c r="J42" s="17"/>
      <c r="K42" s="16"/>
      <c r="L42" s="16"/>
      <c r="M42" s="16"/>
      <c r="N42" s="16"/>
      <c r="O42" s="16"/>
      <c r="P42" s="16"/>
      <c r="Q42" s="17"/>
      <c r="R42" s="17"/>
      <c r="S42" s="17"/>
      <c r="T42" s="17"/>
      <c r="U42" s="17"/>
      <c r="V42" s="17"/>
      <c r="W42" s="16"/>
      <c r="X42" s="16"/>
      <c r="Y42" s="17"/>
      <c r="Z42" s="17"/>
      <c r="AA42" s="17"/>
      <c r="AB42" s="16"/>
      <c r="AC42" s="16"/>
      <c r="AD42" s="17"/>
      <c r="AE42" s="17"/>
      <c r="AF42" s="18"/>
      <c r="AG42" s="18"/>
      <c r="AH42" s="19" t="s">
        <v>79</v>
      </c>
      <c r="AI42" s="19" t="s">
        <v>79</v>
      </c>
      <c r="AJ42" s="37" t="s">
        <v>79</v>
      </c>
      <c r="AK42" s="19" t="s">
        <v>79</v>
      </c>
    </row>
    <row r="43" ht="22.5" customHeight="1">
      <c r="A43" s="15"/>
      <c r="B43" s="15"/>
      <c r="C43" s="16"/>
      <c r="D43" s="16"/>
      <c r="E43" s="17"/>
      <c r="F43" s="16"/>
      <c r="G43" s="16"/>
      <c r="H43" s="17"/>
      <c r="I43" s="16"/>
      <c r="J43" s="17"/>
      <c r="K43" s="16"/>
      <c r="L43" s="16"/>
      <c r="M43" s="16"/>
      <c r="N43" s="16"/>
      <c r="O43" s="16"/>
      <c r="P43" s="16"/>
      <c r="Q43" s="17"/>
      <c r="R43" s="17"/>
      <c r="S43" s="17"/>
      <c r="T43" s="17"/>
      <c r="U43" s="17"/>
      <c r="V43" s="17"/>
      <c r="W43" s="16"/>
      <c r="X43" s="16"/>
      <c r="Y43" s="17"/>
      <c r="Z43" s="17"/>
      <c r="AA43" s="17"/>
      <c r="AB43" s="16"/>
      <c r="AC43" s="16"/>
      <c r="AD43" s="17"/>
      <c r="AE43" s="17"/>
      <c r="AF43" s="18"/>
      <c r="AG43" s="18"/>
      <c r="AH43" s="19" t="s">
        <v>79</v>
      </c>
      <c r="AI43" s="19" t="s">
        <v>79</v>
      </c>
      <c r="AJ43" s="37" t="s">
        <v>79</v>
      </c>
      <c r="AK43" s="19" t="s">
        <v>79</v>
      </c>
    </row>
    <row r="44" ht="22.5" customHeight="1">
      <c r="A44" s="15"/>
      <c r="B44" s="15"/>
      <c r="C44" s="16"/>
      <c r="D44" s="16"/>
      <c r="E44" s="17"/>
      <c r="F44" s="16"/>
      <c r="G44" s="16"/>
      <c r="H44" s="17"/>
      <c r="I44" s="16"/>
      <c r="J44" s="17"/>
      <c r="K44" s="16"/>
      <c r="L44" s="16"/>
      <c r="M44" s="16"/>
      <c r="N44" s="16"/>
      <c r="O44" s="16"/>
      <c r="P44" s="16"/>
      <c r="Q44" s="17"/>
      <c r="R44" s="17"/>
      <c r="S44" s="17"/>
      <c r="T44" s="17"/>
      <c r="U44" s="17"/>
      <c r="V44" s="17"/>
      <c r="W44" s="16"/>
      <c r="X44" s="16"/>
      <c r="Y44" s="17"/>
      <c r="Z44" s="17"/>
      <c r="AA44" s="17"/>
      <c r="AB44" s="16"/>
      <c r="AC44" s="16"/>
      <c r="AD44" s="17"/>
      <c r="AE44" s="17"/>
      <c r="AF44" s="18"/>
      <c r="AG44" s="18"/>
      <c r="AH44" s="19" t="s">
        <v>79</v>
      </c>
      <c r="AI44" s="19" t="s">
        <v>79</v>
      </c>
      <c r="AJ44" s="37" t="s">
        <v>79</v>
      </c>
      <c r="AK44" s="19" t="s">
        <v>79</v>
      </c>
    </row>
    <row r="45" ht="22.5" customHeight="1">
      <c r="A45" s="15"/>
      <c r="B45" s="15"/>
      <c r="C45" s="16"/>
      <c r="D45" s="16"/>
      <c r="E45" s="17"/>
      <c r="F45" s="16"/>
      <c r="G45" s="16"/>
      <c r="H45" s="17"/>
      <c r="I45" s="16"/>
      <c r="J45" s="17"/>
      <c r="K45" s="16"/>
      <c r="L45" s="16"/>
      <c r="M45" s="16"/>
      <c r="N45" s="16"/>
      <c r="O45" s="16"/>
      <c r="P45" s="16"/>
      <c r="Q45" s="17"/>
      <c r="R45" s="17"/>
      <c r="S45" s="17"/>
      <c r="T45" s="17"/>
      <c r="U45" s="17"/>
      <c r="V45" s="17"/>
      <c r="W45" s="16"/>
      <c r="X45" s="16"/>
      <c r="Y45" s="17"/>
      <c r="Z45" s="17"/>
      <c r="AA45" s="17"/>
      <c r="AB45" s="17"/>
      <c r="AC45" s="16"/>
      <c r="AD45" s="17"/>
      <c r="AE45" s="17"/>
      <c r="AF45" s="18"/>
      <c r="AG45" s="18"/>
      <c r="AH45" s="19" t="s">
        <v>79</v>
      </c>
      <c r="AI45" s="19" t="s">
        <v>79</v>
      </c>
      <c r="AJ45" s="37" t="s">
        <v>79</v>
      </c>
      <c r="AK45" s="19" t="s">
        <v>79</v>
      </c>
    </row>
    <row r="46" ht="22.5" customHeight="1">
      <c r="A46" s="15"/>
      <c r="B46" s="15"/>
      <c r="C46" s="16"/>
      <c r="D46" s="16"/>
      <c r="E46" s="17"/>
      <c r="F46" s="16"/>
      <c r="G46" s="16"/>
      <c r="H46" s="17"/>
      <c r="I46" s="16"/>
      <c r="J46" s="17"/>
      <c r="K46" s="16"/>
      <c r="L46" s="16"/>
      <c r="M46" s="16"/>
      <c r="N46" s="16"/>
      <c r="O46" s="16"/>
      <c r="P46" s="16"/>
      <c r="Q46" s="17"/>
      <c r="R46" s="17"/>
      <c r="S46" s="17"/>
      <c r="T46" s="17"/>
      <c r="U46" s="17"/>
      <c r="V46" s="17"/>
      <c r="W46" s="16"/>
      <c r="X46" s="16"/>
      <c r="Y46" s="17"/>
      <c r="Z46" s="17"/>
      <c r="AA46" s="17"/>
      <c r="AB46" s="16"/>
      <c r="AC46" s="16"/>
      <c r="AD46" s="17"/>
      <c r="AE46" s="17"/>
      <c r="AF46" s="18"/>
      <c r="AG46" s="18"/>
      <c r="AH46" s="19" t="s">
        <v>79</v>
      </c>
      <c r="AI46" s="19" t="s">
        <v>79</v>
      </c>
      <c r="AJ46" s="37" t="s">
        <v>79</v>
      </c>
      <c r="AK46" s="19" t="s">
        <v>79</v>
      </c>
    </row>
    <row r="47" ht="22.5" customHeight="1">
      <c r="A47" s="15"/>
      <c r="B47" s="15"/>
      <c r="C47" s="16"/>
      <c r="D47" s="16"/>
      <c r="E47" s="17"/>
      <c r="F47" s="16"/>
      <c r="G47" s="16"/>
      <c r="H47" s="17"/>
      <c r="I47" s="16"/>
      <c r="J47" s="17"/>
      <c r="K47" s="16"/>
      <c r="L47" s="16"/>
      <c r="M47" s="16"/>
      <c r="N47" s="16"/>
      <c r="O47" s="16"/>
      <c r="P47" s="16"/>
      <c r="Q47" s="17"/>
      <c r="R47" s="17"/>
      <c r="S47" s="17"/>
      <c r="T47" s="17"/>
      <c r="U47" s="17"/>
      <c r="V47" s="17"/>
      <c r="W47" s="16"/>
      <c r="X47" s="16"/>
      <c r="Y47" s="17"/>
      <c r="Z47" s="17"/>
      <c r="AA47" s="17"/>
      <c r="AB47" s="16"/>
      <c r="AC47" s="16"/>
      <c r="AD47" s="17"/>
      <c r="AE47" s="17"/>
      <c r="AF47" s="18"/>
      <c r="AG47" s="18"/>
      <c r="AH47" s="19" t="s">
        <v>79</v>
      </c>
      <c r="AI47" s="19" t="s">
        <v>79</v>
      </c>
      <c r="AJ47" s="37" t="s">
        <v>79</v>
      </c>
      <c r="AK47" s="19" t="s">
        <v>79</v>
      </c>
    </row>
    <row r="48" ht="22.5" customHeight="1">
      <c r="A48" s="15"/>
      <c r="B48" s="15"/>
      <c r="C48" s="16"/>
      <c r="D48" s="16"/>
      <c r="E48" s="17"/>
      <c r="F48" s="16"/>
      <c r="G48" s="16"/>
      <c r="H48" s="17"/>
      <c r="I48" s="16"/>
      <c r="J48" s="17"/>
      <c r="K48" s="16"/>
      <c r="L48" s="16"/>
      <c r="M48" s="16"/>
      <c r="N48" s="16"/>
      <c r="O48" s="16"/>
      <c r="P48" s="16"/>
      <c r="Q48" s="17"/>
      <c r="R48" s="17"/>
      <c r="S48" s="17"/>
      <c r="T48" s="17"/>
      <c r="U48" s="17"/>
      <c r="V48" s="17"/>
      <c r="W48" s="16"/>
      <c r="X48" s="16"/>
      <c r="Y48" s="17"/>
      <c r="Z48" s="17"/>
      <c r="AA48" s="17"/>
      <c r="AB48" s="17"/>
      <c r="AC48" s="16"/>
      <c r="AD48" s="17"/>
      <c r="AE48" s="17"/>
      <c r="AF48" s="18"/>
      <c r="AG48" s="18"/>
      <c r="AH48" s="19" t="s">
        <v>79</v>
      </c>
      <c r="AI48" s="19" t="s">
        <v>79</v>
      </c>
      <c r="AJ48" s="37" t="s">
        <v>79</v>
      </c>
      <c r="AK48" s="19" t="s">
        <v>79</v>
      </c>
    </row>
    <row r="49" ht="22.5" customHeight="1">
      <c r="A49" s="15"/>
      <c r="B49" s="15"/>
      <c r="C49" s="16"/>
      <c r="D49" s="16"/>
      <c r="E49" s="17"/>
      <c r="F49" s="16"/>
      <c r="G49" s="16"/>
      <c r="H49" s="17"/>
      <c r="I49" s="16"/>
      <c r="J49" s="17"/>
      <c r="K49" s="16"/>
      <c r="L49" s="16"/>
      <c r="M49" s="16"/>
      <c r="N49" s="16"/>
      <c r="O49" s="16"/>
      <c r="P49" s="16"/>
      <c r="Q49" s="17"/>
      <c r="R49" s="17"/>
      <c r="S49" s="17"/>
      <c r="T49" s="17"/>
      <c r="U49" s="17"/>
      <c r="V49" s="17"/>
      <c r="W49" s="16"/>
      <c r="X49" s="16"/>
      <c r="Y49" s="17"/>
      <c r="Z49" s="17"/>
      <c r="AA49" s="17"/>
      <c r="AB49" s="16"/>
      <c r="AC49" s="16"/>
      <c r="AD49" s="17"/>
      <c r="AE49" s="17"/>
      <c r="AF49" s="18"/>
      <c r="AG49" s="18"/>
      <c r="AH49" s="19" t="s">
        <v>79</v>
      </c>
      <c r="AI49" s="19" t="s">
        <v>79</v>
      </c>
      <c r="AJ49" s="37" t="s">
        <v>79</v>
      </c>
      <c r="AK49" s="19" t="s">
        <v>79</v>
      </c>
    </row>
    <row r="50" ht="22.5" customHeight="1">
      <c r="A50" s="15"/>
      <c r="B50" s="15"/>
      <c r="C50" s="16"/>
      <c r="D50" s="16"/>
      <c r="E50" s="17"/>
      <c r="F50" s="16"/>
      <c r="G50" s="16"/>
      <c r="H50" s="17"/>
      <c r="I50" s="16"/>
      <c r="J50" s="17"/>
      <c r="K50" s="16"/>
      <c r="L50" s="16"/>
      <c r="M50" s="16"/>
      <c r="N50" s="16"/>
      <c r="O50" s="16"/>
      <c r="P50" s="16"/>
      <c r="Q50" s="17"/>
      <c r="R50" s="17"/>
      <c r="S50" s="17"/>
      <c r="T50" s="17"/>
      <c r="U50" s="17"/>
      <c r="V50" s="17"/>
      <c r="W50" s="16"/>
      <c r="X50" s="16"/>
      <c r="Y50" s="17"/>
      <c r="Z50" s="17"/>
      <c r="AA50" s="17"/>
      <c r="AB50" s="16"/>
      <c r="AC50" s="16"/>
      <c r="AD50" s="17"/>
      <c r="AE50" s="17"/>
      <c r="AF50" s="18"/>
      <c r="AG50" s="18"/>
      <c r="AH50" s="19" t="s">
        <v>79</v>
      </c>
      <c r="AI50" s="19" t="s">
        <v>79</v>
      </c>
      <c r="AJ50" s="37" t="s">
        <v>79</v>
      </c>
      <c r="AK50" s="19" t="s">
        <v>79</v>
      </c>
    </row>
    <row r="51" ht="22.5" customHeight="1">
      <c r="A51" s="15"/>
      <c r="B51" s="15"/>
      <c r="C51" s="16"/>
      <c r="D51" s="16"/>
      <c r="E51" s="17"/>
      <c r="F51" s="16"/>
      <c r="G51" s="16"/>
      <c r="H51" s="17"/>
      <c r="I51" s="16"/>
      <c r="J51" s="17"/>
      <c r="K51" s="16"/>
      <c r="L51" s="16"/>
      <c r="M51" s="16"/>
      <c r="N51" s="16"/>
      <c r="O51" s="16"/>
      <c r="P51" s="16"/>
      <c r="Q51" s="17"/>
      <c r="R51" s="17"/>
      <c r="S51" s="17"/>
      <c r="T51" s="17"/>
      <c r="U51" s="17"/>
      <c r="V51" s="17"/>
      <c r="W51" s="16"/>
      <c r="X51" s="16"/>
      <c r="Y51" s="17"/>
      <c r="Z51" s="17"/>
      <c r="AA51" s="17"/>
      <c r="AB51" s="17"/>
      <c r="AC51" s="16"/>
      <c r="AD51" s="17"/>
      <c r="AE51" s="17"/>
      <c r="AF51" s="18"/>
      <c r="AG51" s="18"/>
      <c r="AH51" s="19" t="s">
        <v>79</v>
      </c>
      <c r="AI51" s="19" t="s">
        <v>79</v>
      </c>
      <c r="AJ51" s="37" t="s">
        <v>79</v>
      </c>
      <c r="AK51" s="19" t="s">
        <v>79</v>
      </c>
    </row>
    <row r="52" ht="22.5" customHeight="1">
      <c r="A52" s="15"/>
      <c r="B52" s="15"/>
      <c r="C52" s="16"/>
      <c r="D52" s="16"/>
      <c r="E52" s="17"/>
      <c r="F52" s="16"/>
      <c r="G52" s="16"/>
      <c r="H52" s="17"/>
      <c r="I52" s="16"/>
      <c r="J52" s="17"/>
      <c r="K52" s="16"/>
      <c r="L52" s="16"/>
      <c r="M52" s="16"/>
      <c r="N52" s="16"/>
      <c r="O52" s="16"/>
      <c r="P52" s="16"/>
      <c r="Q52" s="17"/>
      <c r="R52" s="17"/>
      <c r="S52" s="17"/>
      <c r="T52" s="17"/>
      <c r="U52" s="17"/>
      <c r="V52" s="17"/>
      <c r="W52" s="16"/>
      <c r="X52" s="16"/>
      <c r="Y52" s="17"/>
      <c r="Z52" s="17"/>
      <c r="AA52" s="17"/>
      <c r="AB52" s="16"/>
      <c r="AC52" s="16"/>
      <c r="AD52" s="17"/>
      <c r="AE52" s="17"/>
      <c r="AF52" s="18"/>
      <c r="AG52" s="18"/>
      <c r="AH52" s="19" t="s">
        <v>79</v>
      </c>
      <c r="AI52" s="19" t="s">
        <v>79</v>
      </c>
      <c r="AJ52" s="37" t="s">
        <v>79</v>
      </c>
      <c r="AK52" s="19" t="s">
        <v>79</v>
      </c>
    </row>
    <row r="53" ht="22.5" customHeight="1">
      <c r="A53" s="15"/>
      <c r="B53" s="15"/>
      <c r="C53" s="16"/>
      <c r="D53" s="16"/>
      <c r="E53" s="17"/>
      <c r="F53" s="16"/>
      <c r="G53" s="16"/>
      <c r="H53" s="17"/>
      <c r="I53" s="16"/>
      <c r="J53" s="17"/>
      <c r="K53" s="16"/>
      <c r="L53" s="16"/>
      <c r="M53" s="16"/>
      <c r="N53" s="16"/>
      <c r="O53" s="16"/>
      <c r="P53" s="16"/>
      <c r="Q53" s="17"/>
      <c r="R53" s="17"/>
      <c r="S53" s="17"/>
      <c r="T53" s="17"/>
      <c r="U53" s="17"/>
      <c r="V53" s="17"/>
      <c r="W53" s="16"/>
      <c r="X53" s="16"/>
      <c r="Y53" s="17"/>
      <c r="Z53" s="17"/>
      <c r="AA53" s="17"/>
      <c r="AB53" s="16"/>
      <c r="AC53" s="16"/>
      <c r="AD53" s="17"/>
      <c r="AE53" s="17"/>
      <c r="AF53" s="18"/>
      <c r="AG53" s="18"/>
      <c r="AH53" s="19" t="s">
        <v>79</v>
      </c>
      <c r="AI53" s="19" t="s">
        <v>79</v>
      </c>
      <c r="AJ53" s="37" t="s">
        <v>79</v>
      </c>
      <c r="AK53" s="19" t="s">
        <v>79</v>
      </c>
    </row>
    <row r="54" ht="22.5" customHeight="1">
      <c r="A54" s="15"/>
      <c r="B54" s="15"/>
      <c r="C54" s="16"/>
      <c r="D54" s="16"/>
      <c r="E54" s="17"/>
      <c r="F54" s="16"/>
      <c r="G54" s="16"/>
      <c r="H54" s="17"/>
      <c r="I54" s="16"/>
      <c r="J54" s="17"/>
      <c r="K54" s="16"/>
      <c r="L54" s="16"/>
      <c r="M54" s="16"/>
      <c r="N54" s="16"/>
      <c r="O54" s="16"/>
      <c r="P54" s="16"/>
      <c r="Q54" s="17"/>
      <c r="R54" s="17"/>
      <c r="S54" s="17"/>
      <c r="T54" s="17"/>
      <c r="U54" s="17"/>
      <c r="V54" s="17"/>
      <c r="W54" s="16"/>
      <c r="X54" s="16"/>
      <c r="Y54" s="17"/>
      <c r="Z54" s="17"/>
      <c r="AA54" s="17"/>
      <c r="AB54" s="16"/>
      <c r="AC54" s="16"/>
      <c r="AD54" s="17"/>
      <c r="AE54" s="17"/>
      <c r="AF54" s="18"/>
      <c r="AG54" s="18"/>
      <c r="AH54" s="19" t="s">
        <v>79</v>
      </c>
      <c r="AI54" s="19" t="s">
        <v>79</v>
      </c>
      <c r="AJ54" s="37" t="s">
        <v>79</v>
      </c>
      <c r="AK54" s="19" t="s">
        <v>79</v>
      </c>
    </row>
    <row r="55" ht="22.5" customHeight="1">
      <c r="A55" s="15"/>
      <c r="B55" s="15"/>
      <c r="C55" s="16"/>
      <c r="D55" s="16"/>
      <c r="E55" s="17"/>
      <c r="F55" s="16"/>
      <c r="G55" s="16"/>
      <c r="H55" s="17"/>
      <c r="I55" s="16"/>
      <c r="J55" s="17"/>
      <c r="K55" s="16"/>
      <c r="L55" s="16"/>
      <c r="M55" s="16"/>
      <c r="N55" s="16"/>
      <c r="O55" s="16"/>
      <c r="P55" s="16"/>
      <c r="Q55" s="17"/>
      <c r="R55" s="17"/>
      <c r="S55" s="17"/>
      <c r="T55" s="17"/>
      <c r="U55" s="17"/>
      <c r="V55" s="17"/>
      <c r="W55" s="16"/>
      <c r="X55" s="16"/>
      <c r="Y55" s="17"/>
      <c r="Z55" s="17"/>
      <c r="AA55" s="17"/>
      <c r="AB55" s="16"/>
      <c r="AC55" s="16"/>
      <c r="AD55" s="17"/>
      <c r="AE55" s="17"/>
      <c r="AF55" s="18"/>
      <c r="AG55" s="18"/>
      <c r="AH55" s="19" t="s">
        <v>79</v>
      </c>
      <c r="AI55" s="19" t="s">
        <v>79</v>
      </c>
      <c r="AJ55" s="37" t="s">
        <v>79</v>
      </c>
      <c r="AK55" s="19" t="s">
        <v>79</v>
      </c>
    </row>
    <row r="56" ht="22.5" customHeight="1">
      <c r="A56" s="15"/>
      <c r="B56" s="15"/>
      <c r="C56" s="16"/>
      <c r="D56" s="16"/>
      <c r="E56" s="17"/>
      <c r="F56" s="16"/>
      <c r="G56" s="16"/>
      <c r="H56" s="17"/>
      <c r="I56" s="16"/>
      <c r="J56" s="17"/>
      <c r="K56" s="16"/>
      <c r="L56" s="16"/>
      <c r="M56" s="16"/>
      <c r="N56" s="16"/>
      <c r="O56" s="16"/>
      <c r="P56" s="16"/>
      <c r="Q56" s="17"/>
      <c r="R56" s="17"/>
      <c r="S56" s="17"/>
      <c r="T56" s="17"/>
      <c r="U56" s="17"/>
      <c r="V56" s="17"/>
      <c r="W56" s="16"/>
      <c r="X56" s="16"/>
      <c r="Y56" s="17"/>
      <c r="Z56" s="17"/>
      <c r="AA56" s="17"/>
      <c r="AB56" s="16"/>
      <c r="AC56" s="16"/>
      <c r="AD56" s="17"/>
      <c r="AE56" s="17"/>
      <c r="AF56" s="18"/>
      <c r="AG56" s="18"/>
      <c r="AH56" s="19" t="s">
        <v>79</v>
      </c>
      <c r="AI56" s="19" t="s">
        <v>79</v>
      </c>
      <c r="AJ56" s="37" t="s">
        <v>79</v>
      </c>
      <c r="AK56" s="19" t="s">
        <v>79</v>
      </c>
    </row>
    <row r="57" ht="22.5" customHeight="1">
      <c r="A57" s="15"/>
      <c r="B57" s="15"/>
      <c r="C57" s="16"/>
      <c r="D57" s="16"/>
      <c r="E57" s="17"/>
      <c r="F57" s="16"/>
      <c r="G57" s="16"/>
      <c r="H57" s="17"/>
      <c r="I57" s="16"/>
      <c r="J57" s="17"/>
      <c r="K57" s="16"/>
      <c r="L57" s="16"/>
      <c r="M57" s="16"/>
      <c r="N57" s="16"/>
      <c r="O57" s="16"/>
      <c r="P57" s="16"/>
      <c r="Q57" s="17"/>
      <c r="R57" s="17"/>
      <c r="S57" s="17"/>
      <c r="T57" s="17"/>
      <c r="U57" s="17"/>
      <c r="V57" s="17"/>
      <c r="W57" s="16"/>
      <c r="X57" s="16"/>
      <c r="Y57" s="17"/>
      <c r="Z57" s="17"/>
      <c r="AA57" s="17"/>
      <c r="AB57" s="16"/>
      <c r="AC57" s="16"/>
      <c r="AD57" s="17"/>
      <c r="AE57" s="17"/>
      <c r="AF57" s="18"/>
      <c r="AG57" s="18"/>
      <c r="AH57" s="19" t="s">
        <v>79</v>
      </c>
      <c r="AI57" s="19" t="s">
        <v>79</v>
      </c>
      <c r="AJ57" s="37" t="s">
        <v>79</v>
      </c>
      <c r="AK57" s="19" t="s">
        <v>79</v>
      </c>
    </row>
    <row r="58" ht="22.5" customHeight="1">
      <c r="A58" s="15"/>
      <c r="B58" s="15"/>
      <c r="C58" s="16"/>
      <c r="D58" s="16"/>
      <c r="E58" s="17"/>
      <c r="F58" s="16"/>
      <c r="G58" s="16"/>
      <c r="H58" s="17"/>
      <c r="I58" s="16"/>
      <c r="J58" s="17"/>
      <c r="K58" s="16"/>
      <c r="L58" s="16"/>
      <c r="M58" s="16"/>
      <c r="N58" s="16"/>
      <c r="O58" s="16"/>
      <c r="P58" s="16"/>
      <c r="Q58" s="17"/>
      <c r="R58" s="17"/>
      <c r="S58" s="17"/>
      <c r="T58" s="17"/>
      <c r="U58" s="17"/>
      <c r="V58" s="17"/>
      <c r="W58" s="16"/>
      <c r="X58" s="16"/>
      <c r="Y58" s="17"/>
      <c r="Z58" s="17"/>
      <c r="AA58" s="17"/>
      <c r="AB58" s="16"/>
      <c r="AC58" s="16"/>
      <c r="AD58" s="17"/>
      <c r="AE58" s="17"/>
      <c r="AF58" s="18"/>
      <c r="AG58" s="18"/>
      <c r="AH58" s="19" t="s">
        <v>79</v>
      </c>
      <c r="AI58" s="19" t="s">
        <v>79</v>
      </c>
      <c r="AJ58" s="37" t="s">
        <v>79</v>
      </c>
      <c r="AK58" s="19" t="s">
        <v>79</v>
      </c>
    </row>
    <row r="59" ht="22.5" customHeight="1">
      <c r="A59" s="15"/>
      <c r="B59" s="15"/>
      <c r="C59" s="16"/>
      <c r="D59" s="16"/>
      <c r="E59" s="17"/>
      <c r="F59" s="16"/>
      <c r="G59" s="16"/>
      <c r="H59" s="17"/>
      <c r="I59" s="16"/>
      <c r="J59" s="17"/>
      <c r="K59" s="16"/>
      <c r="L59" s="16"/>
      <c r="M59" s="16"/>
      <c r="N59" s="16"/>
      <c r="O59" s="16"/>
      <c r="P59" s="16"/>
      <c r="Q59" s="17"/>
      <c r="R59" s="17"/>
      <c r="S59" s="17"/>
      <c r="T59" s="17"/>
      <c r="U59" s="17"/>
      <c r="V59" s="17"/>
      <c r="W59" s="16"/>
      <c r="X59" s="16"/>
      <c r="Y59" s="17"/>
      <c r="Z59" s="17"/>
      <c r="AA59" s="17"/>
      <c r="AB59" s="16"/>
      <c r="AC59" s="16"/>
      <c r="AD59" s="17"/>
      <c r="AE59" s="17"/>
      <c r="AF59" s="18"/>
      <c r="AG59" s="18"/>
      <c r="AH59" s="19" t="s">
        <v>79</v>
      </c>
      <c r="AI59" s="19" t="s">
        <v>79</v>
      </c>
      <c r="AJ59" s="37" t="s">
        <v>79</v>
      </c>
      <c r="AK59" s="19" t="s">
        <v>79</v>
      </c>
    </row>
    <row r="60" ht="22.5" customHeight="1">
      <c r="A60" s="15"/>
      <c r="B60" s="15"/>
      <c r="C60" s="16"/>
      <c r="D60" s="16"/>
      <c r="E60" s="17"/>
      <c r="F60" s="16"/>
      <c r="G60" s="16"/>
      <c r="H60" s="17"/>
      <c r="I60" s="16"/>
      <c r="J60" s="17"/>
      <c r="K60" s="16"/>
      <c r="L60" s="16"/>
      <c r="M60" s="16"/>
      <c r="N60" s="16"/>
      <c r="O60" s="16"/>
      <c r="P60" s="16"/>
      <c r="Q60" s="17"/>
      <c r="R60" s="17"/>
      <c r="S60" s="17"/>
      <c r="T60" s="17"/>
      <c r="U60" s="17"/>
      <c r="V60" s="17"/>
      <c r="W60" s="16"/>
      <c r="X60" s="16"/>
      <c r="Y60" s="17"/>
      <c r="Z60" s="17"/>
      <c r="AA60" s="17"/>
      <c r="AB60" s="16"/>
      <c r="AC60" s="16"/>
      <c r="AD60" s="17"/>
      <c r="AE60" s="17"/>
      <c r="AF60" s="18"/>
      <c r="AG60" s="18"/>
      <c r="AH60" s="19" t="s">
        <v>79</v>
      </c>
      <c r="AI60" s="19" t="s">
        <v>79</v>
      </c>
      <c r="AJ60" s="37" t="s">
        <v>79</v>
      </c>
      <c r="AK60" s="19" t="s">
        <v>79</v>
      </c>
    </row>
    <row r="61" ht="22.5" customHeight="1">
      <c r="A61" s="15"/>
      <c r="B61" s="15"/>
      <c r="C61" s="16"/>
      <c r="D61" s="16"/>
      <c r="E61" s="17"/>
      <c r="F61" s="16"/>
      <c r="G61" s="16"/>
      <c r="H61" s="17"/>
      <c r="I61" s="16"/>
      <c r="J61" s="17"/>
      <c r="K61" s="16"/>
      <c r="L61" s="16"/>
      <c r="M61" s="16"/>
      <c r="N61" s="16"/>
      <c r="O61" s="16"/>
      <c r="P61" s="16"/>
      <c r="Q61" s="17"/>
      <c r="R61" s="17"/>
      <c r="S61" s="17"/>
      <c r="T61" s="17"/>
      <c r="U61" s="17"/>
      <c r="V61" s="17"/>
      <c r="W61" s="16"/>
      <c r="X61" s="16"/>
      <c r="Y61" s="17"/>
      <c r="Z61" s="17"/>
      <c r="AA61" s="17"/>
      <c r="AB61" s="16"/>
      <c r="AC61" s="16"/>
      <c r="AD61" s="17"/>
      <c r="AE61" s="17"/>
      <c r="AF61" s="18"/>
      <c r="AG61" s="18"/>
      <c r="AH61" s="19" t="s">
        <v>79</v>
      </c>
      <c r="AI61" s="19" t="s">
        <v>79</v>
      </c>
      <c r="AJ61" s="37" t="s">
        <v>79</v>
      </c>
      <c r="AK61" s="19" t="s">
        <v>79</v>
      </c>
    </row>
    <row r="62" ht="22.5" customHeight="1">
      <c r="A62" s="15"/>
      <c r="B62" s="15"/>
      <c r="C62" s="16"/>
      <c r="D62" s="16"/>
      <c r="E62" s="17"/>
      <c r="F62" s="16"/>
      <c r="G62" s="16"/>
      <c r="H62" s="17"/>
      <c r="I62" s="16"/>
      <c r="J62" s="17"/>
      <c r="K62" s="16"/>
      <c r="L62" s="16"/>
      <c r="M62" s="16"/>
      <c r="N62" s="16"/>
      <c r="O62" s="16"/>
      <c r="P62" s="16"/>
      <c r="Q62" s="17"/>
      <c r="R62" s="17"/>
      <c r="S62" s="17"/>
      <c r="T62" s="17"/>
      <c r="U62" s="17"/>
      <c r="V62" s="17"/>
      <c r="W62" s="16"/>
      <c r="X62" s="16"/>
      <c r="Y62" s="17"/>
      <c r="Z62" s="17"/>
      <c r="AA62" s="17"/>
      <c r="AB62" s="16"/>
      <c r="AC62" s="16"/>
      <c r="AD62" s="17"/>
      <c r="AE62" s="17"/>
      <c r="AF62" s="18"/>
      <c r="AG62" s="18"/>
      <c r="AH62" s="19" t="s">
        <v>79</v>
      </c>
      <c r="AI62" s="19" t="s">
        <v>79</v>
      </c>
      <c r="AJ62" s="37" t="s">
        <v>79</v>
      </c>
      <c r="AK62" s="19" t="s">
        <v>79</v>
      </c>
    </row>
    <row r="63" ht="22.5" customHeight="1">
      <c r="A63" s="15"/>
      <c r="B63" s="15"/>
      <c r="C63" s="16"/>
      <c r="D63" s="16"/>
      <c r="E63" s="17"/>
      <c r="F63" s="16"/>
      <c r="G63" s="16"/>
      <c r="H63" s="17"/>
      <c r="I63" s="16"/>
      <c r="J63" s="17"/>
      <c r="K63" s="16"/>
      <c r="L63" s="16"/>
      <c r="M63" s="16"/>
      <c r="N63" s="16"/>
      <c r="O63" s="16"/>
      <c r="P63" s="16"/>
      <c r="Q63" s="17"/>
      <c r="R63" s="17"/>
      <c r="S63" s="17"/>
      <c r="T63" s="17"/>
      <c r="U63" s="17"/>
      <c r="V63" s="17"/>
      <c r="W63" s="16"/>
      <c r="X63" s="16"/>
      <c r="Y63" s="17"/>
      <c r="Z63" s="17"/>
      <c r="AA63" s="17"/>
      <c r="AB63" s="16"/>
      <c r="AC63" s="16"/>
      <c r="AD63" s="17"/>
      <c r="AE63" s="17"/>
      <c r="AF63" s="18"/>
      <c r="AG63" s="18"/>
      <c r="AH63" s="19" t="s">
        <v>79</v>
      </c>
      <c r="AI63" s="19" t="s">
        <v>79</v>
      </c>
      <c r="AJ63" s="37" t="s">
        <v>79</v>
      </c>
      <c r="AK63" s="19" t="s">
        <v>79</v>
      </c>
    </row>
    <row r="64" ht="22.5" customHeight="1">
      <c r="A64" s="15"/>
      <c r="B64" s="15"/>
      <c r="C64" s="16"/>
      <c r="D64" s="16"/>
      <c r="E64" s="17"/>
      <c r="F64" s="16"/>
      <c r="G64" s="16"/>
      <c r="H64" s="17"/>
      <c r="I64" s="16"/>
      <c r="J64" s="17"/>
      <c r="K64" s="16"/>
      <c r="L64" s="16"/>
      <c r="M64" s="16"/>
      <c r="N64" s="16"/>
      <c r="O64" s="16"/>
      <c r="P64" s="16"/>
      <c r="Q64" s="17"/>
      <c r="R64" s="17"/>
      <c r="S64" s="17"/>
      <c r="T64" s="17"/>
      <c r="U64" s="17"/>
      <c r="V64" s="17"/>
      <c r="W64" s="16"/>
      <c r="X64" s="99"/>
      <c r="Y64" s="17"/>
      <c r="Z64" s="17"/>
      <c r="AA64" s="17"/>
      <c r="AB64" s="16"/>
      <c r="AC64" s="16"/>
      <c r="AD64" s="17"/>
      <c r="AE64" s="17"/>
      <c r="AF64" s="18"/>
      <c r="AG64" s="18"/>
      <c r="AH64" s="19" t="s">
        <v>79</v>
      </c>
      <c r="AI64" s="19" t="s">
        <v>79</v>
      </c>
      <c r="AJ64" s="37" t="s">
        <v>79</v>
      </c>
      <c r="AK64" s="19" t="s">
        <v>79</v>
      </c>
    </row>
    <row r="65" ht="22.5" customHeight="1">
      <c r="A65" s="15"/>
      <c r="B65" s="15"/>
      <c r="C65" s="16"/>
      <c r="D65" s="16"/>
      <c r="E65" s="17"/>
      <c r="F65" s="16"/>
      <c r="G65" s="16"/>
      <c r="H65" s="17"/>
      <c r="I65" s="16"/>
      <c r="J65" s="17"/>
      <c r="K65" s="16"/>
      <c r="L65" s="16"/>
      <c r="M65" s="16"/>
      <c r="N65" s="16"/>
      <c r="O65" s="16"/>
      <c r="P65" s="16"/>
      <c r="Q65" s="17"/>
      <c r="R65" s="17"/>
      <c r="S65" s="17"/>
      <c r="T65" s="17"/>
      <c r="U65" s="17"/>
      <c r="V65" s="17"/>
      <c r="W65" s="16"/>
      <c r="X65" s="16"/>
      <c r="Y65" s="17"/>
      <c r="Z65" s="17"/>
      <c r="AA65" s="17"/>
      <c r="AB65" s="16"/>
      <c r="AC65" s="16"/>
      <c r="AD65" s="17"/>
      <c r="AE65" s="17"/>
      <c r="AF65" s="18"/>
      <c r="AG65" s="18"/>
      <c r="AH65" s="19" t="s">
        <v>79</v>
      </c>
      <c r="AI65" s="19" t="s">
        <v>79</v>
      </c>
      <c r="AJ65" s="37" t="s">
        <v>79</v>
      </c>
      <c r="AK65" s="19" t="s">
        <v>79</v>
      </c>
    </row>
    <row r="66" ht="22.5" customHeight="1">
      <c r="A66" s="15"/>
      <c r="B66" s="15"/>
      <c r="C66" s="16"/>
      <c r="D66" s="16"/>
      <c r="E66" s="17"/>
      <c r="F66" s="16"/>
      <c r="G66" s="16"/>
      <c r="H66" s="17"/>
      <c r="I66" s="16"/>
      <c r="J66" s="17"/>
      <c r="K66" s="16"/>
      <c r="L66" s="16"/>
      <c r="M66" s="16"/>
      <c r="N66" s="16"/>
      <c r="O66" s="16"/>
      <c r="P66" s="16"/>
      <c r="Q66" s="17"/>
      <c r="R66" s="17"/>
      <c r="S66" s="17"/>
      <c r="T66" s="17"/>
      <c r="U66" s="17"/>
      <c r="V66" s="17"/>
      <c r="W66" s="16"/>
      <c r="X66" s="16"/>
      <c r="Y66" s="17"/>
      <c r="Z66" s="17"/>
      <c r="AA66" s="17"/>
      <c r="AB66" s="16"/>
      <c r="AC66" s="16"/>
      <c r="AD66" s="17"/>
      <c r="AE66" s="17"/>
      <c r="AF66" s="18"/>
      <c r="AG66" s="18"/>
      <c r="AH66" s="19" t="s">
        <v>79</v>
      </c>
      <c r="AI66" s="19" t="s">
        <v>79</v>
      </c>
      <c r="AJ66" s="37" t="s">
        <v>79</v>
      </c>
      <c r="AK66" s="19" t="s">
        <v>79</v>
      </c>
    </row>
    <row r="67" ht="22.5" customHeight="1">
      <c r="A67" s="15"/>
      <c r="B67" s="15"/>
      <c r="C67" s="16"/>
      <c r="D67" s="16"/>
      <c r="E67" s="17"/>
      <c r="F67" s="16"/>
      <c r="G67" s="16"/>
      <c r="H67" s="17"/>
      <c r="I67" s="16"/>
      <c r="J67" s="17"/>
      <c r="K67" s="16"/>
      <c r="L67" s="16"/>
      <c r="M67" s="16"/>
      <c r="N67" s="16"/>
      <c r="O67" s="16"/>
      <c r="P67" s="16"/>
      <c r="Q67" s="17"/>
      <c r="R67" s="17"/>
      <c r="S67" s="17"/>
      <c r="T67" s="17"/>
      <c r="U67" s="17"/>
      <c r="V67" s="17"/>
      <c r="W67" s="16"/>
      <c r="X67" s="16"/>
      <c r="Y67" s="17"/>
      <c r="AA67" s="17"/>
      <c r="AB67" s="17"/>
      <c r="AC67" s="16"/>
      <c r="AD67" s="17"/>
      <c r="AE67" s="17"/>
      <c r="AF67" s="18"/>
      <c r="AG67" s="18"/>
      <c r="AH67" s="19" t="s">
        <v>79</v>
      </c>
      <c r="AI67" s="19" t="s">
        <v>79</v>
      </c>
      <c r="AJ67" s="37" t="s">
        <v>79</v>
      </c>
      <c r="AK67" s="19" t="s">
        <v>79</v>
      </c>
    </row>
    <row r="68" ht="22.5" customHeight="1">
      <c r="A68" s="15"/>
      <c r="B68" s="15"/>
      <c r="C68" s="16"/>
      <c r="D68" s="16"/>
      <c r="E68" s="17"/>
      <c r="F68" s="16"/>
      <c r="G68" s="16"/>
      <c r="H68" s="17"/>
      <c r="I68" s="16"/>
      <c r="J68" s="17"/>
      <c r="K68" s="16"/>
      <c r="L68" s="16"/>
      <c r="M68" s="16"/>
      <c r="N68" s="16"/>
      <c r="O68" s="16"/>
      <c r="P68" s="16"/>
      <c r="Q68" s="17"/>
      <c r="R68" s="17"/>
      <c r="S68" s="17"/>
      <c r="T68" s="17"/>
      <c r="U68" s="17"/>
      <c r="V68" s="17"/>
      <c r="W68" s="16"/>
      <c r="X68" s="16"/>
      <c r="Y68" s="17"/>
      <c r="Z68" s="17"/>
      <c r="AA68" s="17"/>
      <c r="AB68" s="17"/>
      <c r="AC68" s="16"/>
      <c r="AD68" s="17"/>
      <c r="AE68" s="17"/>
      <c r="AF68" s="18"/>
      <c r="AG68" s="18"/>
      <c r="AH68" s="19" t="s">
        <v>79</v>
      </c>
      <c r="AI68" s="19" t="s">
        <v>79</v>
      </c>
      <c r="AJ68" s="37" t="s">
        <v>79</v>
      </c>
      <c r="AK68" s="19" t="s">
        <v>79</v>
      </c>
    </row>
    <row r="69" ht="22.5" customHeight="1">
      <c r="A69" s="15"/>
      <c r="B69" s="15"/>
      <c r="C69" s="16"/>
      <c r="D69" s="16"/>
      <c r="E69" s="17"/>
      <c r="F69" s="16"/>
      <c r="G69" s="16"/>
      <c r="H69" s="17"/>
      <c r="I69" s="16"/>
      <c r="J69" s="17"/>
      <c r="K69" s="16"/>
      <c r="L69" s="16"/>
      <c r="M69" s="16"/>
      <c r="N69" s="16"/>
      <c r="O69" s="16"/>
      <c r="P69" s="16"/>
      <c r="Q69" s="17"/>
      <c r="R69" s="17"/>
      <c r="S69" s="17"/>
      <c r="T69" s="17"/>
      <c r="U69" s="17"/>
      <c r="V69" s="17"/>
      <c r="W69" s="16"/>
      <c r="X69" s="16"/>
      <c r="Y69" s="17"/>
      <c r="Z69" s="17"/>
      <c r="AA69" s="17"/>
      <c r="AB69" s="17"/>
      <c r="AC69" s="16"/>
      <c r="AD69" s="17"/>
      <c r="AE69" s="17"/>
      <c r="AF69" s="18"/>
      <c r="AG69" s="18"/>
      <c r="AH69" s="19" t="s">
        <v>79</v>
      </c>
      <c r="AI69" s="19" t="s">
        <v>79</v>
      </c>
      <c r="AJ69" s="37" t="s">
        <v>79</v>
      </c>
      <c r="AK69" s="19" t="s">
        <v>79</v>
      </c>
    </row>
    <row r="70" ht="22.5" customHeight="1">
      <c r="A70" s="15"/>
      <c r="B70" s="15"/>
      <c r="C70" s="16"/>
      <c r="D70" s="16"/>
      <c r="E70" s="17"/>
      <c r="F70" s="16"/>
      <c r="G70" s="16"/>
      <c r="H70" s="17"/>
      <c r="I70" s="16"/>
      <c r="J70" s="17"/>
      <c r="K70" s="16"/>
      <c r="L70" s="16"/>
      <c r="M70" s="16"/>
      <c r="N70" s="16"/>
      <c r="O70" s="16"/>
      <c r="P70" s="16"/>
      <c r="Q70" s="17"/>
      <c r="R70" s="17"/>
      <c r="S70" s="17"/>
      <c r="T70" s="17"/>
      <c r="U70" s="17"/>
      <c r="V70" s="17"/>
      <c r="W70" s="16"/>
      <c r="X70" s="16"/>
      <c r="Y70" s="17"/>
      <c r="Z70" s="17"/>
      <c r="AA70" s="17"/>
      <c r="AB70" s="16"/>
      <c r="AC70" s="16"/>
      <c r="AD70" s="17"/>
      <c r="AE70" s="17"/>
      <c r="AF70" s="18"/>
      <c r="AG70" s="18"/>
      <c r="AH70" s="19" t="s">
        <v>79</v>
      </c>
      <c r="AI70" s="19" t="s">
        <v>79</v>
      </c>
      <c r="AJ70" s="37" t="s">
        <v>79</v>
      </c>
      <c r="AK70" s="19" t="s">
        <v>79</v>
      </c>
    </row>
    <row r="71" ht="22.5" customHeight="1">
      <c r="A71" s="15"/>
      <c r="B71" s="15"/>
      <c r="C71" s="16"/>
      <c r="D71" s="16"/>
      <c r="E71" s="17"/>
      <c r="F71" s="16"/>
      <c r="G71" s="16"/>
      <c r="H71" s="17"/>
      <c r="I71" s="16"/>
      <c r="J71" s="17"/>
      <c r="K71" s="16"/>
      <c r="L71" s="16"/>
      <c r="M71" s="16"/>
      <c r="N71" s="16"/>
      <c r="O71" s="16"/>
      <c r="P71" s="16"/>
      <c r="Q71" s="17"/>
      <c r="R71" s="17"/>
      <c r="S71" s="17"/>
      <c r="T71" s="17"/>
      <c r="U71" s="17"/>
      <c r="V71" s="17"/>
      <c r="W71" s="16"/>
      <c r="X71" s="16"/>
      <c r="Y71" s="17"/>
      <c r="Z71" s="17"/>
      <c r="AA71" s="17"/>
      <c r="AB71" s="16"/>
      <c r="AC71" s="16"/>
      <c r="AD71" s="17"/>
      <c r="AE71" s="17"/>
      <c r="AF71" s="18"/>
      <c r="AG71" s="18"/>
      <c r="AH71" s="19" t="s">
        <v>79</v>
      </c>
      <c r="AI71" s="19" t="s">
        <v>79</v>
      </c>
      <c r="AJ71" s="37" t="s">
        <v>79</v>
      </c>
      <c r="AK71" s="19" t="s">
        <v>79</v>
      </c>
    </row>
    <row r="72" ht="22.5" customHeight="1">
      <c r="A72" s="15"/>
      <c r="B72" s="15"/>
      <c r="C72" s="16"/>
      <c r="D72" s="16"/>
      <c r="E72" s="17"/>
      <c r="F72" s="16"/>
      <c r="G72" s="16"/>
      <c r="H72" s="17"/>
      <c r="I72" s="16"/>
      <c r="J72" s="17"/>
      <c r="K72" s="16"/>
      <c r="L72" s="16"/>
      <c r="M72" s="16"/>
      <c r="N72" s="16"/>
      <c r="O72" s="16"/>
      <c r="P72" s="16"/>
      <c r="Q72" s="17"/>
      <c r="R72" s="17"/>
      <c r="S72" s="17"/>
      <c r="T72" s="17"/>
      <c r="U72" s="17"/>
      <c r="V72" s="17"/>
      <c r="W72" s="16"/>
      <c r="X72" s="16"/>
      <c r="Y72" s="17"/>
      <c r="Z72" s="17"/>
      <c r="AA72" s="17"/>
      <c r="AB72" s="17"/>
      <c r="AC72" s="16"/>
      <c r="AD72" s="17"/>
      <c r="AE72" s="17"/>
      <c r="AF72" s="18"/>
      <c r="AG72" s="18"/>
      <c r="AH72" s="19" t="s">
        <v>79</v>
      </c>
      <c r="AI72" s="19" t="s">
        <v>79</v>
      </c>
      <c r="AJ72" s="37" t="s">
        <v>79</v>
      </c>
      <c r="AK72" s="19" t="s">
        <v>79</v>
      </c>
    </row>
    <row r="73" ht="22.5" customHeight="1">
      <c r="A73" s="15"/>
      <c r="B73" s="15"/>
      <c r="C73" s="16"/>
      <c r="D73" s="16"/>
      <c r="E73" s="17"/>
      <c r="F73" s="16"/>
      <c r="G73" s="16"/>
      <c r="H73" s="17"/>
      <c r="I73" s="16"/>
      <c r="J73" s="17"/>
      <c r="K73" s="16"/>
      <c r="L73" s="16"/>
      <c r="M73" s="16"/>
      <c r="N73" s="16"/>
      <c r="O73" s="16"/>
      <c r="P73" s="16"/>
      <c r="Q73" s="17"/>
      <c r="R73" s="17"/>
      <c r="S73" s="17"/>
      <c r="T73" s="17"/>
      <c r="U73" s="17"/>
      <c r="V73" s="17"/>
      <c r="W73" s="16"/>
      <c r="X73" s="100"/>
      <c r="Y73" s="17"/>
      <c r="Z73" s="17"/>
      <c r="AA73" s="16"/>
      <c r="AB73" s="16"/>
      <c r="AC73" s="16"/>
      <c r="AD73" s="17"/>
      <c r="AE73" s="17"/>
      <c r="AF73" s="18"/>
      <c r="AG73" s="18"/>
      <c r="AH73" s="19" t="s">
        <v>79</v>
      </c>
      <c r="AI73" s="19" t="s">
        <v>79</v>
      </c>
      <c r="AJ73" s="37" t="s">
        <v>79</v>
      </c>
      <c r="AK73" s="19" t="s">
        <v>79</v>
      </c>
    </row>
    <row r="74" ht="22.5" customHeight="1">
      <c r="A74" s="15"/>
      <c r="B74" s="15"/>
      <c r="C74" s="16"/>
      <c r="D74" s="16"/>
      <c r="E74" s="17"/>
      <c r="F74" s="16"/>
      <c r="G74" s="16"/>
      <c r="H74" s="17"/>
      <c r="I74" s="16"/>
      <c r="J74" s="17"/>
      <c r="K74" s="16"/>
      <c r="L74" s="16"/>
      <c r="M74" s="16"/>
      <c r="N74" s="16"/>
      <c r="O74" s="16"/>
      <c r="P74" s="16"/>
      <c r="Q74" s="17"/>
      <c r="R74" s="17"/>
      <c r="S74" s="17"/>
      <c r="T74" s="17"/>
      <c r="U74" s="17"/>
      <c r="V74" s="17"/>
      <c r="W74" s="16"/>
      <c r="X74" s="16"/>
      <c r="Y74" s="17"/>
      <c r="Z74" s="17"/>
      <c r="AA74" s="16"/>
      <c r="AB74" s="16"/>
      <c r="AC74" s="16"/>
      <c r="AD74" s="17"/>
      <c r="AE74" s="17"/>
      <c r="AF74" s="18"/>
      <c r="AG74" s="18"/>
      <c r="AH74" s="19" t="s">
        <v>79</v>
      </c>
      <c r="AI74" s="19" t="s">
        <v>79</v>
      </c>
      <c r="AJ74" s="37" t="s">
        <v>79</v>
      </c>
      <c r="AK74" s="19" t="s">
        <v>79</v>
      </c>
    </row>
    <row r="75" ht="22.5" customHeight="1">
      <c r="A75" s="15"/>
      <c r="B75" s="15"/>
      <c r="C75" s="16"/>
      <c r="D75" s="16"/>
      <c r="E75" s="17"/>
      <c r="F75" s="16"/>
      <c r="G75" s="16"/>
      <c r="H75" s="17"/>
      <c r="I75" s="16"/>
      <c r="J75" s="17"/>
      <c r="K75" s="16"/>
      <c r="L75" s="16"/>
      <c r="M75" s="16"/>
      <c r="N75" s="16"/>
      <c r="O75" s="16"/>
      <c r="P75" s="16"/>
      <c r="Q75" s="17"/>
      <c r="R75" s="17"/>
      <c r="S75" s="17"/>
      <c r="T75" s="17"/>
      <c r="U75" s="17"/>
      <c r="V75" s="17"/>
      <c r="W75" s="16"/>
      <c r="X75" s="16"/>
      <c r="Y75" s="17"/>
      <c r="Z75" s="17"/>
      <c r="AA75" s="16"/>
      <c r="AB75" s="16"/>
      <c r="AC75" s="16"/>
      <c r="AD75" s="17"/>
      <c r="AE75" s="17"/>
      <c r="AF75" s="18"/>
      <c r="AG75" s="18"/>
      <c r="AH75" s="19" t="s">
        <v>79</v>
      </c>
      <c r="AI75" s="19" t="s">
        <v>79</v>
      </c>
      <c r="AJ75" s="37" t="s">
        <v>79</v>
      </c>
      <c r="AK75" s="19" t="s">
        <v>79</v>
      </c>
    </row>
    <row r="76" ht="22.5" customHeight="1">
      <c r="A76" s="15"/>
      <c r="B76" s="15"/>
      <c r="C76" s="16"/>
      <c r="D76" s="16"/>
      <c r="E76" s="17"/>
      <c r="F76" s="16"/>
      <c r="G76" s="16"/>
      <c r="H76" s="17"/>
      <c r="I76" s="16"/>
      <c r="J76" s="17"/>
      <c r="K76" s="16"/>
      <c r="L76" s="16"/>
      <c r="M76" s="16"/>
      <c r="N76" s="16"/>
      <c r="O76" s="16"/>
      <c r="P76" s="16"/>
      <c r="Q76" s="17"/>
      <c r="R76" s="17"/>
      <c r="S76" s="17"/>
      <c r="T76" s="17"/>
      <c r="U76" s="17"/>
      <c r="V76" s="17"/>
      <c r="W76" s="16"/>
      <c r="X76" s="16"/>
      <c r="Y76" s="17"/>
      <c r="Z76" s="17"/>
      <c r="AA76" s="16"/>
      <c r="AB76" s="16"/>
      <c r="AC76" s="16"/>
      <c r="AD76" s="17"/>
      <c r="AE76" s="17"/>
      <c r="AF76" s="18"/>
      <c r="AG76" s="18"/>
      <c r="AH76" s="19" t="s">
        <v>79</v>
      </c>
      <c r="AI76" s="19" t="s">
        <v>79</v>
      </c>
      <c r="AJ76" s="37" t="s">
        <v>79</v>
      </c>
      <c r="AK76" s="19" t="s">
        <v>79</v>
      </c>
    </row>
    <row r="77" ht="22.5" customHeight="1">
      <c r="A77" s="15"/>
      <c r="B77" s="15"/>
      <c r="C77" s="16"/>
      <c r="D77" s="16"/>
      <c r="E77" s="17"/>
      <c r="F77" s="16"/>
      <c r="G77" s="16"/>
      <c r="H77" s="17"/>
      <c r="I77" s="16"/>
      <c r="J77" s="17"/>
      <c r="K77" s="16"/>
      <c r="L77" s="16"/>
      <c r="M77" s="16"/>
      <c r="N77" s="16"/>
      <c r="O77" s="16"/>
      <c r="P77" s="16"/>
      <c r="Q77" s="17"/>
      <c r="R77" s="17"/>
      <c r="S77" s="17"/>
      <c r="T77" s="17"/>
      <c r="U77" s="17"/>
      <c r="V77" s="17"/>
      <c r="W77" s="16"/>
      <c r="X77" s="16"/>
      <c r="Y77" s="17"/>
      <c r="Z77" s="17"/>
      <c r="AA77" s="16"/>
      <c r="AB77" s="16"/>
      <c r="AC77" s="16"/>
      <c r="AD77" s="17"/>
      <c r="AE77" s="17"/>
      <c r="AF77" s="18"/>
      <c r="AG77" s="18"/>
      <c r="AH77" s="19" t="s">
        <v>79</v>
      </c>
      <c r="AI77" s="19" t="s">
        <v>79</v>
      </c>
      <c r="AJ77" s="37" t="s">
        <v>79</v>
      </c>
      <c r="AK77" s="19" t="s">
        <v>79</v>
      </c>
    </row>
    <row r="78" ht="22.5" customHeight="1">
      <c r="A78" s="15"/>
      <c r="B78" s="15"/>
      <c r="C78" s="16"/>
      <c r="D78" s="16"/>
      <c r="E78" s="17"/>
      <c r="F78" s="16"/>
      <c r="G78" s="16"/>
      <c r="H78" s="17"/>
      <c r="I78" s="16"/>
      <c r="J78" s="17"/>
      <c r="K78" s="16"/>
      <c r="L78" s="16"/>
      <c r="M78" s="16"/>
      <c r="N78" s="16"/>
      <c r="O78" s="16"/>
      <c r="P78" s="16"/>
      <c r="Q78" s="17"/>
      <c r="R78" s="17"/>
      <c r="S78" s="17"/>
      <c r="T78" s="17"/>
      <c r="U78" s="17"/>
      <c r="V78" s="17"/>
      <c r="W78" s="16"/>
      <c r="X78" s="16"/>
      <c r="Y78" s="17"/>
      <c r="Z78" s="17"/>
      <c r="AA78" s="16"/>
      <c r="AB78" s="16"/>
      <c r="AC78" s="16"/>
      <c r="AD78" s="17"/>
      <c r="AE78" s="17"/>
      <c r="AF78" s="18"/>
      <c r="AG78" s="18"/>
      <c r="AH78" s="19" t="s">
        <v>79</v>
      </c>
      <c r="AI78" s="19" t="s">
        <v>79</v>
      </c>
      <c r="AJ78" s="37" t="s">
        <v>79</v>
      </c>
      <c r="AK78" s="19" t="s">
        <v>79</v>
      </c>
    </row>
    <row r="79" ht="22.5" customHeight="1">
      <c r="A79" s="15"/>
      <c r="B79" s="15"/>
      <c r="C79" s="16"/>
      <c r="D79" s="16"/>
      <c r="E79" s="17"/>
      <c r="F79" s="16"/>
      <c r="G79" s="16"/>
      <c r="H79" s="17"/>
      <c r="I79" s="16"/>
      <c r="J79" s="17"/>
      <c r="K79" s="16"/>
      <c r="L79" s="16"/>
      <c r="M79" s="16"/>
      <c r="N79" s="16"/>
      <c r="O79" s="16"/>
      <c r="P79" s="16"/>
      <c r="Q79" s="17"/>
      <c r="R79" s="17"/>
      <c r="S79" s="17"/>
      <c r="T79" s="17"/>
      <c r="U79" s="17"/>
      <c r="V79" s="17"/>
      <c r="W79" s="16"/>
      <c r="X79" s="16"/>
      <c r="Y79" s="17"/>
      <c r="Z79" s="17"/>
      <c r="AA79" s="16"/>
      <c r="AB79" s="16"/>
      <c r="AC79" s="16"/>
      <c r="AD79" s="17"/>
      <c r="AE79" s="17"/>
      <c r="AF79" s="18"/>
      <c r="AG79" s="18"/>
      <c r="AH79" s="19" t="s">
        <v>79</v>
      </c>
      <c r="AI79" s="19" t="s">
        <v>79</v>
      </c>
      <c r="AJ79" s="37" t="s">
        <v>79</v>
      </c>
      <c r="AK79" s="19" t="s">
        <v>79</v>
      </c>
    </row>
    <row r="80" ht="22.5" customHeight="1">
      <c r="A80" s="15"/>
      <c r="B80" s="15"/>
      <c r="C80" s="16"/>
      <c r="D80" s="16"/>
      <c r="E80" s="17"/>
      <c r="F80" s="16"/>
      <c r="G80" s="16"/>
      <c r="H80" s="17"/>
      <c r="I80" s="16"/>
      <c r="J80" s="17"/>
      <c r="K80" s="16"/>
      <c r="L80" s="16"/>
      <c r="M80" s="16"/>
      <c r="N80" s="16"/>
      <c r="O80" s="16"/>
      <c r="P80" s="16"/>
      <c r="Q80" s="17"/>
      <c r="R80" s="17"/>
      <c r="S80" s="17"/>
      <c r="T80" s="17"/>
      <c r="U80" s="17"/>
      <c r="V80" s="17"/>
      <c r="W80" s="16"/>
      <c r="X80" s="16"/>
      <c r="Y80" s="17"/>
      <c r="Z80" s="17"/>
      <c r="AA80" s="16"/>
      <c r="AB80" s="16"/>
      <c r="AC80" s="16"/>
      <c r="AD80" s="17"/>
      <c r="AE80" s="17"/>
      <c r="AF80" s="18"/>
      <c r="AG80" s="18"/>
      <c r="AH80" s="19" t="s">
        <v>79</v>
      </c>
      <c r="AI80" s="19" t="s">
        <v>79</v>
      </c>
      <c r="AJ80" s="37" t="s">
        <v>79</v>
      </c>
      <c r="AK80" s="19" t="s">
        <v>79</v>
      </c>
    </row>
    <row r="81" ht="22.5" customHeight="1">
      <c r="A81" s="15"/>
      <c r="B81" s="15"/>
      <c r="C81" s="16"/>
      <c r="D81" s="16"/>
      <c r="E81" s="17"/>
      <c r="F81" s="16"/>
      <c r="G81" s="16"/>
      <c r="H81" s="17"/>
      <c r="I81" s="16"/>
      <c r="J81" s="17"/>
      <c r="K81" s="16"/>
      <c r="L81" s="16"/>
      <c r="M81" s="16"/>
      <c r="N81" s="16"/>
      <c r="O81" s="16"/>
      <c r="P81" s="16"/>
      <c r="Q81" s="17"/>
      <c r="R81" s="17"/>
      <c r="S81" s="17"/>
      <c r="T81" s="17"/>
      <c r="U81" s="17"/>
      <c r="V81" s="17"/>
      <c r="W81" s="16"/>
      <c r="X81" s="16"/>
      <c r="Y81" s="17"/>
      <c r="Z81" s="17"/>
      <c r="AA81" s="16"/>
      <c r="AB81" s="16"/>
      <c r="AC81" s="16"/>
      <c r="AD81" s="17"/>
      <c r="AE81" s="17"/>
      <c r="AF81" s="18"/>
      <c r="AG81" s="18"/>
      <c r="AH81" s="19" t="s">
        <v>79</v>
      </c>
      <c r="AI81" s="19" t="s">
        <v>79</v>
      </c>
      <c r="AJ81" s="37" t="s">
        <v>79</v>
      </c>
      <c r="AK81" s="19" t="s">
        <v>79</v>
      </c>
    </row>
    <row r="82" ht="22.5" customHeight="1">
      <c r="A82" s="15"/>
      <c r="B82" s="15"/>
      <c r="C82" s="16"/>
      <c r="D82" s="16"/>
      <c r="E82" s="17"/>
      <c r="F82" s="16"/>
      <c r="G82" s="16"/>
      <c r="H82" s="17"/>
      <c r="I82" s="16"/>
      <c r="J82" s="17"/>
      <c r="K82" s="16"/>
      <c r="L82" s="16"/>
      <c r="M82" s="16"/>
      <c r="N82" s="16"/>
      <c r="O82" s="16"/>
      <c r="P82" s="16"/>
      <c r="Q82" s="17"/>
      <c r="R82" s="17"/>
      <c r="S82" s="17"/>
      <c r="T82" s="17"/>
      <c r="U82" s="17"/>
      <c r="V82" s="17"/>
      <c r="W82" s="16"/>
      <c r="X82" s="16"/>
      <c r="Y82" s="17"/>
      <c r="Z82" s="17"/>
      <c r="AA82" s="16"/>
      <c r="AB82" s="16"/>
      <c r="AC82" s="16"/>
      <c r="AD82" s="17"/>
      <c r="AE82" s="17"/>
      <c r="AF82" s="18"/>
      <c r="AG82" s="18"/>
      <c r="AH82" s="19" t="s">
        <v>79</v>
      </c>
      <c r="AI82" s="19" t="s">
        <v>79</v>
      </c>
      <c r="AJ82" s="37" t="s">
        <v>79</v>
      </c>
      <c r="AK82" s="19" t="s">
        <v>79</v>
      </c>
    </row>
    <row r="83" ht="22.5" customHeight="1">
      <c r="A83" s="15"/>
      <c r="B83" s="15"/>
      <c r="C83" s="16"/>
      <c r="D83" s="16"/>
      <c r="E83" s="17"/>
      <c r="F83" s="16"/>
      <c r="G83" s="16"/>
      <c r="H83" s="17"/>
      <c r="I83" s="16"/>
      <c r="J83" s="17"/>
      <c r="K83" s="16"/>
      <c r="L83" s="16"/>
      <c r="M83" s="16"/>
      <c r="N83" s="16"/>
      <c r="O83" s="16"/>
      <c r="P83" s="16"/>
      <c r="Q83" s="17"/>
      <c r="R83" s="17"/>
      <c r="S83" s="17"/>
      <c r="T83" s="17"/>
      <c r="U83" s="17"/>
      <c r="V83" s="17"/>
      <c r="W83" s="16"/>
      <c r="X83" s="16"/>
      <c r="Y83" s="17"/>
      <c r="Z83" s="17"/>
      <c r="AA83" s="16"/>
      <c r="AB83" s="16"/>
      <c r="AC83" s="16"/>
      <c r="AD83" s="17"/>
      <c r="AE83" s="17"/>
      <c r="AF83" s="18"/>
      <c r="AG83" s="18"/>
      <c r="AH83" s="19" t="s">
        <v>79</v>
      </c>
      <c r="AI83" s="19" t="s">
        <v>79</v>
      </c>
      <c r="AJ83" s="37" t="s">
        <v>79</v>
      </c>
      <c r="AK83" s="19" t="s">
        <v>79</v>
      </c>
    </row>
    <row r="84" ht="22.5" customHeight="1">
      <c r="A84" s="15"/>
      <c r="B84" s="15"/>
      <c r="C84" s="16"/>
      <c r="D84" s="16"/>
      <c r="E84" s="17"/>
      <c r="F84" s="16"/>
      <c r="G84" s="16"/>
      <c r="H84" s="17"/>
      <c r="I84" s="16"/>
      <c r="J84" s="17"/>
      <c r="K84" s="16"/>
      <c r="L84" s="16"/>
      <c r="M84" s="16"/>
      <c r="N84" s="16"/>
      <c r="O84" s="16"/>
      <c r="P84" s="16"/>
      <c r="Q84" s="17"/>
      <c r="R84" s="17"/>
      <c r="S84" s="17"/>
      <c r="T84" s="17"/>
      <c r="U84" s="17"/>
      <c r="V84" s="17"/>
      <c r="W84" s="16"/>
      <c r="X84" s="16"/>
      <c r="Y84" s="17"/>
      <c r="Z84" s="17"/>
      <c r="AA84" s="16"/>
      <c r="AB84" s="16"/>
      <c r="AC84" s="16"/>
      <c r="AD84" s="17"/>
      <c r="AE84" s="17"/>
      <c r="AF84" s="18"/>
      <c r="AG84" s="18"/>
      <c r="AH84" s="19" t="s">
        <v>79</v>
      </c>
      <c r="AI84" s="19" t="s">
        <v>79</v>
      </c>
      <c r="AJ84" s="37" t="s">
        <v>79</v>
      </c>
      <c r="AK84" s="19" t="s">
        <v>79</v>
      </c>
    </row>
    <row r="85" ht="22.5" customHeight="1">
      <c r="A85" s="15"/>
      <c r="B85" s="15"/>
      <c r="C85" s="16"/>
      <c r="D85" s="16"/>
      <c r="E85" s="17"/>
      <c r="F85" s="16"/>
      <c r="G85" s="16"/>
      <c r="H85" s="17"/>
      <c r="I85" s="16"/>
      <c r="J85" s="17"/>
      <c r="K85" s="16"/>
      <c r="L85" s="16"/>
      <c r="M85" s="16"/>
      <c r="N85" s="16"/>
      <c r="O85" s="16"/>
      <c r="P85" s="16"/>
      <c r="Q85" s="17"/>
      <c r="R85" s="17"/>
      <c r="S85" s="17"/>
      <c r="T85" s="17"/>
      <c r="U85" s="17"/>
      <c r="V85" s="17"/>
      <c r="W85" s="16"/>
      <c r="X85" s="16"/>
      <c r="Y85" s="17"/>
      <c r="Z85" s="17"/>
      <c r="AA85" s="16"/>
      <c r="AB85" s="16"/>
      <c r="AC85" s="16"/>
      <c r="AD85" s="17"/>
      <c r="AE85" s="17"/>
      <c r="AF85" s="18"/>
      <c r="AG85" s="18"/>
      <c r="AH85" s="19" t="s">
        <v>79</v>
      </c>
      <c r="AI85" s="19" t="s">
        <v>79</v>
      </c>
      <c r="AJ85" s="37" t="s">
        <v>79</v>
      </c>
      <c r="AK85" s="19" t="s">
        <v>79</v>
      </c>
    </row>
    <row r="86" ht="22.5" customHeight="1">
      <c r="A86" s="15"/>
      <c r="B86" s="15"/>
      <c r="C86" s="16"/>
      <c r="D86" s="16"/>
      <c r="E86" s="17"/>
      <c r="F86" s="16"/>
      <c r="G86" s="16"/>
      <c r="H86" s="17"/>
      <c r="I86" s="16"/>
      <c r="J86" s="17"/>
      <c r="K86" s="16"/>
      <c r="L86" s="16"/>
      <c r="M86" s="16"/>
      <c r="N86" s="16"/>
      <c r="O86" s="16"/>
      <c r="P86" s="16"/>
      <c r="Q86" s="17"/>
      <c r="R86" s="17"/>
      <c r="S86" s="17"/>
      <c r="T86" s="17"/>
      <c r="U86" s="17"/>
      <c r="V86" s="17"/>
      <c r="W86" s="16"/>
      <c r="X86" s="16"/>
      <c r="Y86" s="17"/>
      <c r="Z86" s="17"/>
      <c r="AA86" s="17"/>
      <c r="AB86" s="17"/>
      <c r="AC86" s="16"/>
      <c r="AD86" s="17"/>
      <c r="AE86" s="17"/>
      <c r="AF86" s="18"/>
      <c r="AG86" s="18"/>
      <c r="AH86" s="19" t="s">
        <v>79</v>
      </c>
      <c r="AI86" s="19" t="s">
        <v>79</v>
      </c>
      <c r="AJ86" s="37" t="s">
        <v>79</v>
      </c>
      <c r="AK86" s="19" t="s">
        <v>79</v>
      </c>
    </row>
    <row r="87" ht="22.5" customHeight="1">
      <c r="A87" s="15"/>
      <c r="B87" s="15"/>
      <c r="C87" s="16"/>
      <c r="D87" s="16"/>
      <c r="E87" s="17"/>
      <c r="F87" s="16"/>
      <c r="G87" s="16"/>
      <c r="H87" s="17"/>
      <c r="I87" s="16"/>
      <c r="J87" s="17"/>
      <c r="K87" s="16"/>
      <c r="L87" s="16"/>
      <c r="M87" s="16"/>
      <c r="N87" s="16"/>
      <c r="O87" s="16"/>
      <c r="P87" s="16"/>
      <c r="Q87" s="17"/>
      <c r="R87" s="17"/>
      <c r="S87" s="17"/>
      <c r="T87" s="17"/>
      <c r="U87" s="17"/>
      <c r="V87" s="17"/>
      <c r="W87" s="16"/>
      <c r="X87" s="16"/>
      <c r="Y87" s="17"/>
      <c r="Z87" s="17"/>
      <c r="AA87" s="16"/>
      <c r="AB87" s="16"/>
      <c r="AC87" s="16"/>
      <c r="AD87" s="17"/>
      <c r="AE87" s="17"/>
      <c r="AF87" s="18"/>
      <c r="AG87" s="18"/>
      <c r="AH87" s="19" t="s">
        <v>79</v>
      </c>
      <c r="AI87" s="19" t="s">
        <v>79</v>
      </c>
      <c r="AJ87" s="37" t="s">
        <v>79</v>
      </c>
      <c r="AK87" s="19" t="s">
        <v>79</v>
      </c>
    </row>
    <row r="88" ht="22.5" customHeight="1">
      <c r="A88" s="15"/>
      <c r="B88" s="15"/>
      <c r="C88" s="16"/>
      <c r="D88" s="16"/>
      <c r="E88" s="17"/>
      <c r="F88" s="16"/>
      <c r="G88" s="16"/>
      <c r="H88" s="17"/>
      <c r="I88" s="16"/>
      <c r="J88" s="17"/>
      <c r="K88" s="16"/>
      <c r="L88" s="16"/>
      <c r="M88" s="16"/>
      <c r="N88" s="16"/>
      <c r="O88" s="16"/>
      <c r="P88" s="16"/>
      <c r="Q88" s="17"/>
      <c r="R88" s="17"/>
      <c r="S88" s="17"/>
      <c r="T88" s="17"/>
      <c r="U88" s="17"/>
      <c r="V88" s="17"/>
      <c r="W88" s="16"/>
      <c r="X88" s="16"/>
      <c r="Y88" s="17"/>
      <c r="Z88" s="17"/>
      <c r="AA88" s="16"/>
      <c r="AB88" s="16"/>
      <c r="AC88" s="16"/>
      <c r="AD88" s="17"/>
      <c r="AE88" s="17"/>
      <c r="AF88" s="18"/>
      <c r="AG88" s="18"/>
      <c r="AH88" s="19" t="s">
        <v>79</v>
      </c>
      <c r="AI88" s="19" t="s">
        <v>79</v>
      </c>
      <c r="AJ88" s="37" t="s">
        <v>79</v>
      </c>
      <c r="AK88" s="19" t="s">
        <v>79</v>
      </c>
    </row>
    <row r="89" ht="22.5" customHeight="1">
      <c r="A89" s="15"/>
      <c r="B89" s="15"/>
      <c r="C89" s="16"/>
      <c r="D89" s="16"/>
      <c r="E89" s="17"/>
      <c r="F89" s="16"/>
      <c r="G89" s="16"/>
      <c r="H89" s="17"/>
      <c r="I89" s="16"/>
      <c r="J89" s="17"/>
      <c r="K89" s="16"/>
      <c r="L89" s="16"/>
      <c r="M89" s="16"/>
      <c r="N89" s="16"/>
      <c r="O89" s="16"/>
      <c r="P89" s="16"/>
      <c r="Q89" s="17"/>
      <c r="R89" s="17"/>
      <c r="S89" s="17"/>
      <c r="T89" s="17"/>
      <c r="U89" s="17"/>
      <c r="V89" s="17"/>
      <c r="W89" s="16"/>
      <c r="X89" s="16"/>
      <c r="Y89" s="17"/>
      <c r="Z89" s="17"/>
      <c r="AA89" s="17"/>
      <c r="AB89" s="17"/>
      <c r="AC89" s="16"/>
      <c r="AD89" s="17"/>
      <c r="AE89" s="17"/>
      <c r="AF89" s="18"/>
      <c r="AG89" s="18"/>
      <c r="AH89" s="19" t="s">
        <v>79</v>
      </c>
      <c r="AI89" s="19" t="s">
        <v>79</v>
      </c>
      <c r="AJ89" s="37" t="s">
        <v>79</v>
      </c>
      <c r="AK89" s="19" t="s">
        <v>79</v>
      </c>
    </row>
    <row r="90" ht="22.5" customHeight="1">
      <c r="A90" s="15"/>
      <c r="B90" s="15"/>
      <c r="C90" s="16"/>
      <c r="D90" s="16"/>
      <c r="E90" s="17"/>
      <c r="F90" s="16"/>
      <c r="G90" s="16"/>
      <c r="H90" s="17"/>
      <c r="I90" s="16"/>
      <c r="J90" s="17"/>
      <c r="K90" s="16"/>
      <c r="L90" s="16"/>
      <c r="M90" s="16"/>
      <c r="N90" s="16"/>
      <c r="O90" s="16"/>
      <c r="P90" s="16"/>
      <c r="Q90" s="17"/>
      <c r="R90" s="17"/>
      <c r="S90" s="17"/>
      <c r="T90" s="17"/>
      <c r="U90" s="17"/>
      <c r="V90" s="17"/>
      <c r="W90" s="16"/>
      <c r="X90" s="16"/>
      <c r="Y90" s="17"/>
      <c r="Z90" s="17"/>
      <c r="AA90" s="16"/>
      <c r="AB90" s="16"/>
      <c r="AC90" s="16"/>
      <c r="AD90" s="17"/>
      <c r="AE90" s="17"/>
      <c r="AF90" s="18"/>
      <c r="AG90" s="18"/>
      <c r="AH90" s="19" t="s">
        <v>79</v>
      </c>
      <c r="AI90" s="19" t="s">
        <v>79</v>
      </c>
      <c r="AJ90" s="37" t="s">
        <v>79</v>
      </c>
      <c r="AK90" s="19" t="s">
        <v>79</v>
      </c>
    </row>
    <row r="91" ht="22.5" customHeight="1">
      <c r="A91" s="15"/>
      <c r="B91" s="15"/>
      <c r="C91" s="16"/>
      <c r="D91" s="16"/>
      <c r="E91" s="17"/>
      <c r="F91" s="16"/>
      <c r="G91" s="16"/>
      <c r="H91" s="17"/>
      <c r="I91" s="16"/>
      <c r="J91" s="17"/>
      <c r="K91" s="16"/>
      <c r="L91" s="16"/>
      <c r="M91" s="16"/>
      <c r="N91" s="16"/>
      <c r="O91" s="16"/>
      <c r="P91" s="16"/>
      <c r="Q91" s="17"/>
      <c r="R91" s="17"/>
      <c r="S91" s="17"/>
      <c r="T91" s="17"/>
      <c r="U91" s="17"/>
      <c r="V91" s="17"/>
      <c r="W91" s="16"/>
      <c r="X91" s="16"/>
      <c r="Y91" s="17"/>
      <c r="Z91" s="17"/>
      <c r="AA91" s="16"/>
      <c r="AB91" s="16"/>
      <c r="AC91" s="16"/>
      <c r="AD91" s="17"/>
      <c r="AE91" s="17"/>
      <c r="AF91" s="18"/>
      <c r="AG91" s="18"/>
      <c r="AH91" s="19" t="s">
        <v>79</v>
      </c>
      <c r="AI91" s="19" t="s">
        <v>79</v>
      </c>
      <c r="AJ91" s="37" t="s">
        <v>79</v>
      </c>
      <c r="AK91" s="19" t="s">
        <v>79</v>
      </c>
    </row>
    <row r="92" ht="22.5" customHeight="1">
      <c r="A92" s="15"/>
      <c r="B92" s="15"/>
      <c r="C92" s="16"/>
      <c r="D92" s="16"/>
      <c r="E92" s="17"/>
      <c r="F92" s="16"/>
      <c r="G92" s="16"/>
      <c r="H92" s="17"/>
      <c r="I92" s="16"/>
      <c r="J92" s="17"/>
      <c r="K92" s="16"/>
      <c r="L92" s="16"/>
      <c r="M92" s="16"/>
      <c r="N92" s="16"/>
      <c r="O92" s="16"/>
      <c r="P92" s="16"/>
      <c r="Q92" s="17"/>
      <c r="R92" s="17"/>
      <c r="S92" s="17"/>
      <c r="T92" s="17"/>
      <c r="U92" s="17"/>
      <c r="V92" s="17"/>
      <c r="W92" s="16"/>
      <c r="X92" s="16"/>
      <c r="Y92" s="17"/>
      <c r="Z92" s="17"/>
      <c r="AA92" s="16"/>
      <c r="AB92" s="16"/>
      <c r="AC92" s="16"/>
      <c r="AD92" s="17"/>
      <c r="AE92" s="17"/>
      <c r="AF92" s="18"/>
      <c r="AG92" s="18"/>
      <c r="AH92" s="19" t="s">
        <v>79</v>
      </c>
      <c r="AI92" s="19" t="s">
        <v>79</v>
      </c>
      <c r="AJ92" s="37" t="s">
        <v>79</v>
      </c>
      <c r="AK92" s="19" t="s">
        <v>79</v>
      </c>
    </row>
    <row r="93" ht="22.5" customHeight="1">
      <c r="A93" s="15"/>
      <c r="B93" s="15"/>
      <c r="C93" s="16"/>
      <c r="D93" s="16"/>
      <c r="E93" s="17"/>
      <c r="F93" s="16"/>
      <c r="G93" s="16"/>
      <c r="H93" s="17"/>
      <c r="I93" s="16"/>
      <c r="J93" s="17"/>
      <c r="K93" s="16"/>
      <c r="L93" s="16"/>
      <c r="M93" s="16"/>
      <c r="N93" s="16"/>
      <c r="O93" s="16"/>
      <c r="P93" s="16"/>
      <c r="Q93" s="17"/>
      <c r="R93" s="17"/>
      <c r="S93" s="17"/>
      <c r="T93" s="17"/>
      <c r="U93" s="17"/>
      <c r="V93" s="17"/>
      <c r="W93" s="16"/>
      <c r="X93" s="16"/>
      <c r="Y93" s="17"/>
      <c r="Z93" s="17"/>
      <c r="AA93" s="16"/>
      <c r="AB93" s="16"/>
      <c r="AC93" s="16"/>
      <c r="AD93" s="17"/>
      <c r="AE93" s="17"/>
      <c r="AF93" s="18"/>
      <c r="AG93" s="18"/>
      <c r="AH93" s="19" t="s">
        <v>79</v>
      </c>
      <c r="AI93" s="19" t="s">
        <v>79</v>
      </c>
      <c r="AJ93" s="37" t="s">
        <v>79</v>
      </c>
      <c r="AK93" s="19" t="s">
        <v>79</v>
      </c>
    </row>
    <row r="94" ht="22.5" customHeight="1">
      <c r="A94" s="15"/>
      <c r="B94" s="15"/>
      <c r="C94" s="16"/>
      <c r="D94" s="16"/>
      <c r="E94" s="17"/>
      <c r="F94" s="16"/>
      <c r="G94" s="16"/>
      <c r="H94" s="17"/>
      <c r="I94" s="16"/>
      <c r="J94" s="17"/>
      <c r="K94" s="16"/>
      <c r="L94" s="16"/>
      <c r="M94" s="16"/>
      <c r="N94" s="16"/>
      <c r="O94" s="16"/>
      <c r="P94" s="16"/>
      <c r="Q94" s="17"/>
      <c r="R94" s="17"/>
      <c r="S94" s="17"/>
      <c r="T94" s="17"/>
      <c r="U94" s="17"/>
      <c r="V94" s="17"/>
      <c r="W94" s="16"/>
      <c r="X94" s="16"/>
      <c r="Y94" s="17"/>
      <c r="Z94" s="17"/>
      <c r="AA94" s="16"/>
      <c r="AB94" s="16"/>
      <c r="AC94" s="16"/>
      <c r="AD94" s="17"/>
      <c r="AE94" s="17"/>
      <c r="AF94" s="18"/>
      <c r="AG94" s="18"/>
      <c r="AH94" s="19" t="s">
        <v>79</v>
      </c>
      <c r="AI94" s="19" t="s">
        <v>79</v>
      </c>
      <c r="AJ94" s="37" t="s">
        <v>79</v>
      </c>
      <c r="AK94" s="19" t="s">
        <v>79</v>
      </c>
    </row>
    <row r="95" ht="22.5" customHeight="1">
      <c r="A95" s="15"/>
      <c r="B95" s="15"/>
      <c r="C95" s="16"/>
      <c r="D95" s="16"/>
      <c r="E95" s="17"/>
      <c r="F95" s="16"/>
      <c r="G95" s="16"/>
      <c r="H95" s="17"/>
      <c r="I95" s="16"/>
      <c r="J95" s="17"/>
      <c r="K95" s="16"/>
      <c r="L95" s="16"/>
      <c r="M95" s="16"/>
      <c r="N95" s="16"/>
      <c r="O95" s="16"/>
      <c r="P95" s="16"/>
      <c r="Q95" s="17"/>
      <c r="R95" s="17"/>
      <c r="S95" s="17"/>
      <c r="T95" s="17"/>
      <c r="U95" s="17"/>
      <c r="V95" s="17"/>
      <c r="W95" s="16"/>
      <c r="X95" s="16"/>
      <c r="Y95" s="17"/>
      <c r="Z95" s="17"/>
      <c r="AA95" s="17"/>
      <c r="AB95" s="17"/>
      <c r="AC95" s="16"/>
      <c r="AD95" s="17"/>
      <c r="AE95" s="17"/>
      <c r="AF95" s="18"/>
      <c r="AG95" s="18"/>
      <c r="AH95" s="19" t="s">
        <v>79</v>
      </c>
      <c r="AI95" s="19" t="s">
        <v>79</v>
      </c>
      <c r="AJ95" s="37" t="s">
        <v>79</v>
      </c>
      <c r="AK95" s="19" t="s">
        <v>79</v>
      </c>
    </row>
    <row r="96" ht="22.5" customHeight="1">
      <c r="A96" s="15"/>
      <c r="B96" s="15"/>
      <c r="C96" s="16"/>
      <c r="D96" s="16"/>
      <c r="E96" s="17"/>
      <c r="F96" s="16"/>
      <c r="G96" s="16"/>
      <c r="H96" s="17"/>
      <c r="I96" s="16"/>
      <c r="J96" s="17"/>
      <c r="K96" s="16"/>
      <c r="L96" s="16"/>
      <c r="M96" s="16"/>
      <c r="N96" s="16"/>
      <c r="O96" s="16"/>
      <c r="P96" s="16"/>
      <c r="Q96" s="17"/>
      <c r="R96" s="17"/>
      <c r="S96" s="17"/>
      <c r="T96" s="17"/>
      <c r="U96" s="17"/>
      <c r="V96" s="17"/>
      <c r="W96" s="16"/>
      <c r="X96" s="16"/>
      <c r="Y96" s="17"/>
      <c r="Z96" s="17"/>
      <c r="AA96" s="16"/>
      <c r="AB96" s="16"/>
      <c r="AC96" s="16"/>
      <c r="AD96" s="17"/>
      <c r="AE96" s="17"/>
      <c r="AF96" s="18"/>
      <c r="AG96" s="18"/>
      <c r="AH96" s="19" t="s">
        <v>79</v>
      </c>
      <c r="AI96" s="19" t="s">
        <v>79</v>
      </c>
      <c r="AJ96" s="37" t="s">
        <v>79</v>
      </c>
      <c r="AK96" s="19" t="s">
        <v>79</v>
      </c>
    </row>
    <row r="97" ht="22.5" customHeight="1">
      <c r="A97" s="15"/>
      <c r="B97" s="15"/>
      <c r="C97" s="16"/>
      <c r="D97" s="16"/>
      <c r="E97" s="17"/>
      <c r="F97" s="16"/>
      <c r="G97" s="16"/>
      <c r="H97" s="17"/>
      <c r="I97" s="16"/>
      <c r="J97" s="17"/>
      <c r="K97" s="16"/>
      <c r="L97" s="16"/>
      <c r="M97" s="16"/>
      <c r="N97" s="16"/>
      <c r="O97" s="16"/>
      <c r="P97" s="16"/>
      <c r="Q97" s="17"/>
      <c r="R97" s="17"/>
      <c r="S97" s="17"/>
      <c r="T97" s="17"/>
      <c r="U97" s="17"/>
      <c r="V97" s="17"/>
      <c r="W97" s="16"/>
      <c r="X97" s="16"/>
      <c r="Y97" s="17"/>
      <c r="Z97" s="17"/>
      <c r="AA97" s="16"/>
      <c r="AB97" s="16"/>
      <c r="AC97" s="16"/>
      <c r="AD97" s="17"/>
      <c r="AE97" s="17"/>
      <c r="AF97" s="18"/>
      <c r="AG97" s="18"/>
      <c r="AH97" s="19" t="s">
        <v>79</v>
      </c>
      <c r="AI97" s="19" t="s">
        <v>79</v>
      </c>
      <c r="AJ97" s="37" t="s">
        <v>79</v>
      </c>
      <c r="AK97" s="19" t="s">
        <v>79</v>
      </c>
    </row>
    <row r="98" ht="22.5" customHeight="1">
      <c r="A98" s="15"/>
      <c r="B98" s="15"/>
      <c r="C98" s="16"/>
      <c r="D98" s="16"/>
      <c r="E98" s="17"/>
      <c r="F98" s="16"/>
      <c r="G98" s="16"/>
      <c r="H98" s="17"/>
      <c r="I98" s="16"/>
      <c r="J98" s="17"/>
      <c r="K98" s="16"/>
      <c r="L98" s="16"/>
      <c r="M98" s="16"/>
      <c r="N98" s="16"/>
      <c r="O98" s="16"/>
      <c r="P98" s="16"/>
      <c r="Q98" s="17"/>
      <c r="R98" s="17"/>
      <c r="S98" s="17"/>
      <c r="T98" s="17"/>
      <c r="U98" s="17"/>
      <c r="V98" s="17"/>
      <c r="W98" s="16"/>
      <c r="X98" s="16"/>
      <c r="Y98" s="17"/>
      <c r="Z98" s="17"/>
      <c r="AA98" s="17"/>
      <c r="AB98" s="17"/>
      <c r="AC98" s="16"/>
      <c r="AD98" s="17"/>
      <c r="AE98" s="17"/>
      <c r="AF98" s="18"/>
      <c r="AG98" s="18"/>
      <c r="AH98" s="19" t="s">
        <v>79</v>
      </c>
      <c r="AI98" s="19" t="s">
        <v>79</v>
      </c>
      <c r="AJ98" s="37" t="s">
        <v>79</v>
      </c>
      <c r="AK98" s="19" t="s">
        <v>79</v>
      </c>
    </row>
    <row r="99" ht="22.5" customHeight="1">
      <c r="A99" s="101"/>
      <c r="B99" s="101"/>
      <c r="C99" s="102"/>
      <c r="D99" s="102"/>
      <c r="E99" s="103"/>
      <c r="F99" s="102"/>
      <c r="G99" s="102"/>
      <c r="H99" s="103"/>
      <c r="I99" s="102"/>
      <c r="J99" s="103"/>
      <c r="K99" s="102"/>
      <c r="L99" s="102"/>
      <c r="M99" s="102"/>
      <c r="N99" s="102"/>
      <c r="O99" s="102"/>
      <c r="P99" s="102"/>
      <c r="Q99" s="103"/>
      <c r="R99" s="103"/>
      <c r="S99" s="103"/>
      <c r="T99" s="103"/>
      <c r="U99" s="103"/>
      <c r="V99" s="103"/>
      <c r="W99" s="102"/>
      <c r="X99" s="102"/>
      <c r="Y99" s="103"/>
      <c r="Z99" s="103"/>
      <c r="AA99" s="102"/>
      <c r="AB99" s="102"/>
      <c r="AC99" s="16"/>
      <c r="AD99" s="103"/>
      <c r="AE99" s="103"/>
      <c r="AF99" s="104"/>
      <c r="AG99" s="104"/>
      <c r="AH99" s="105" t="s">
        <v>79</v>
      </c>
      <c r="AI99" s="105" t="s">
        <v>79</v>
      </c>
      <c r="AJ99" s="106" t="s">
        <v>79</v>
      </c>
      <c r="AK99" s="105" t="s">
        <v>79</v>
      </c>
    </row>
    <row r="100" ht="22.5" customHeight="1">
      <c r="A100" s="15"/>
      <c r="B100" s="15"/>
      <c r="C100" s="16"/>
      <c r="D100" s="16"/>
      <c r="E100" s="17"/>
      <c r="F100" s="16"/>
      <c r="G100" s="16"/>
      <c r="H100" s="17"/>
      <c r="I100" s="16"/>
      <c r="J100" s="17"/>
      <c r="K100" s="16"/>
      <c r="L100" s="16"/>
      <c r="M100" s="16"/>
      <c r="N100" s="16"/>
      <c r="O100" s="16"/>
      <c r="P100" s="16"/>
      <c r="Q100" s="17"/>
      <c r="R100" s="17"/>
      <c r="S100" s="17"/>
      <c r="T100" s="17"/>
      <c r="U100" s="17"/>
      <c r="V100" s="17"/>
      <c r="W100" s="16"/>
      <c r="X100" s="16"/>
      <c r="Y100" s="17"/>
      <c r="Z100" s="17"/>
      <c r="AA100" s="16"/>
      <c r="AB100" s="16"/>
      <c r="AC100" s="16"/>
      <c r="AD100" s="17"/>
      <c r="AE100" s="17"/>
      <c r="AF100" s="18"/>
      <c r="AG100" s="18"/>
      <c r="AH100" s="19" t="s">
        <v>79</v>
      </c>
      <c r="AI100" s="19" t="s">
        <v>79</v>
      </c>
      <c r="AJ100" s="37" t="s">
        <v>79</v>
      </c>
      <c r="AK100" s="19" t="s">
        <v>79</v>
      </c>
    </row>
    <row r="101" ht="22.5" customHeight="1">
      <c r="A101" s="15"/>
      <c r="B101" s="15"/>
      <c r="C101" s="16"/>
      <c r="D101" s="16"/>
      <c r="E101" s="17"/>
      <c r="F101" s="16"/>
      <c r="G101" s="16"/>
      <c r="H101" s="17"/>
      <c r="I101" s="16"/>
      <c r="J101" s="17"/>
      <c r="K101" s="16"/>
      <c r="L101" s="16"/>
      <c r="M101" s="16"/>
      <c r="N101" s="16"/>
      <c r="O101" s="16"/>
      <c r="P101" s="16"/>
      <c r="Q101" s="17"/>
      <c r="R101" s="17"/>
      <c r="S101" s="17"/>
      <c r="T101" s="17"/>
      <c r="U101" s="17"/>
      <c r="V101" s="17"/>
      <c r="W101" s="16"/>
      <c r="X101" s="16"/>
      <c r="Y101" s="17"/>
      <c r="Z101" s="17"/>
      <c r="AA101" s="17"/>
      <c r="AB101" s="17"/>
      <c r="AC101" s="16"/>
      <c r="AD101" s="17"/>
      <c r="AE101" s="17"/>
      <c r="AF101" s="18"/>
      <c r="AG101" s="18"/>
      <c r="AH101" s="19" t="s">
        <v>79</v>
      </c>
      <c r="AI101" s="19" t="s">
        <v>79</v>
      </c>
      <c r="AJ101" s="37" t="s">
        <v>79</v>
      </c>
      <c r="AK101" s="19" t="s">
        <v>79</v>
      </c>
    </row>
    <row r="102" ht="22.5" customHeight="1">
      <c r="A102" s="15"/>
      <c r="B102" s="15"/>
      <c r="C102" s="16"/>
      <c r="D102" s="16"/>
      <c r="E102" s="17"/>
      <c r="F102" s="16"/>
      <c r="G102" s="16"/>
      <c r="H102" s="17"/>
      <c r="I102" s="16"/>
      <c r="J102" s="17"/>
      <c r="K102" s="16"/>
      <c r="L102" s="16"/>
      <c r="M102" s="16"/>
      <c r="N102" s="16"/>
      <c r="O102" s="16"/>
      <c r="P102" s="16"/>
      <c r="Q102" s="17"/>
      <c r="R102" s="17"/>
      <c r="S102" s="17"/>
      <c r="T102" s="17"/>
      <c r="U102" s="17"/>
      <c r="V102" s="17"/>
      <c r="W102" s="16"/>
      <c r="X102" s="16"/>
      <c r="Y102" s="17"/>
      <c r="Z102" s="17"/>
      <c r="AA102" s="16"/>
      <c r="AB102" s="16"/>
      <c r="AC102" s="16"/>
      <c r="AD102" s="17"/>
      <c r="AE102" s="17"/>
      <c r="AF102" s="18"/>
      <c r="AG102" s="18"/>
      <c r="AH102" s="19" t="s">
        <v>79</v>
      </c>
      <c r="AI102" s="19" t="s">
        <v>79</v>
      </c>
      <c r="AJ102" s="37" t="s">
        <v>79</v>
      </c>
      <c r="AK102" s="19" t="s">
        <v>79</v>
      </c>
    </row>
    <row r="103" ht="22.5" customHeight="1">
      <c r="A103" s="15"/>
      <c r="B103" s="15"/>
      <c r="C103" s="16"/>
      <c r="D103" s="16"/>
      <c r="E103" s="17"/>
      <c r="F103" s="16"/>
      <c r="G103" s="16"/>
      <c r="H103" s="17"/>
      <c r="I103" s="16"/>
      <c r="J103" s="17"/>
      <c r="K103" s="16"/>
      <c r="L103" s="16"/>
      <c r="M103" s="16"/>
      <c r="N103" s="16"/>
      <c r="O103" s="16"/>
      <c r="P103" s="16"/>
      <c r="Q103" s="17"/>
      <c r="R103" s="17"/>
      <c r="S103" s="17"/>
      <c r="T103" s="17"/>
      <c r="U103" s="17"/>
      <c r="V103" s="17"/>
      <c r="W103" s="16"/>
      <c r="X103" s="16"/>
      <c r="Y103" s="17"/>
      <c r="Z103" s="17"/>
      <c r="AA103" s="16"/>
      <c r="AB103" s="16"/>
      <c r="AC103" s="16"/>
      <c r="AD103" s="17"/>
      <c r="AE103" s="17"/>
      <c r="AF103" s="18"/>
      <c r="AG103" s="18"/>
      <c r="AH103" s="19" t="s">
        <v>79</v>
      </c>
      <c r="AI103" s="19" t="s">
        <v>79</v>
      </c>
      <c r="AJ103" s="37" t="s">
        <v>79</v>
      </c>
      <c r="AK103" s="19" t="s">
        <v>79</v>
      </c>
    </row>
    <row r="104" ht="22.5" customHeight="1">
      <c r="A104" s="15"/>
      <c r="B104" s="15"/>
      <c r="C104" s="16"/>
      <c r="D104" s="16"/>
      <c r="E104" s="17"/>
      <c r="F104" s="16"/>
      <c r="G104" s="16"/>
      <c r="H104" s="17"/>
      <c r="I104" s="16"/>
      <c r="J104" s="17"/>
      <c r="K104" s="16"/>
      <c r="L104" s="16"/>
      <c r="M104" s="16"/>
      <c r="N104" s="16"/>
      <c r="O104" s="16"/>
      <c r="P104" s="16"/>
      <c r="Q104" s="17"/>
      <c r="R104" s="17"/>
      <c r="S104" s="17"/>
      <c r="T104" s="17"/>
      <c r="U104" s="17"/>
      <c r="V104" s="17"/>
      <c r="W104" s="16"/>
      <c r="X104" s="16"/>
      <c r="Y104" s="17"/>
      <c r="Z104" s="17"/>
      <c r="AA104" s="16"/>
      <c r="AB104" s="16"/>
      <c r="AC104" s="16"/>
      <c r="AD104" s="17"/>
      <c r="AE104" s="17"/>
      <c r="AF104" s="18"/>
      <c r="AG104" s="18"/>
      <c r="AH104" s="19" t="s">
        <v>79</v>
      </c>
      <c r="AI104" s="19" t="s">
        <v>79</v>
      </c>
      <c r="AJ104" s="37" t="s">
        <v>79</v>
      </c>
      <c r="AK104" s="19" t="s">
        <v>79</v>
      </c>
    </row>
    <row r="105" ht="22.5" customHeight="1">
      <c r="A105" s="15"/>
      <c r="B105" s="15"/>
      <c r="C105" s="16"/>
      <c r="D105" s="16"/>
      <c r="E105" s="17"/>
      <c r="F105" s="16"/>
      <c r="G105" s="16"/>
      <c r="H105" s="17"/>
      <c r="I105" s="16"/>
      <c r="J105" s="17"/>
      <c r="K105" s="16"/>
      <c r="L105" s="16"/>
      <c r="M105" s="16"/>
      <c r="N105" s="16"/>
      <c r="O105" s="16"/>
      <c r="P105" s="16"/>
      <c r="Q105" s="17"/>
      <c r="R105" s="17"/>
      <c r="S105" s="17"/>
      <c r="T105" s="17"/>
      <c r="U105" s="17"/>
      <c r="V105" s="17"/>
      <c r="W105" s="16"/>
      <c r="X105" s="16"/>
      <c r="Y105" s="17"/>
      <c r="Z105" s="17"/>
      <c r="AA105" s="16"/>
      <c r="AB105" s="17"/>
      <c r="AC105" s="16"/>
      <c r="AD105" s="17"/>
      <c r="AE105" s="17"/>
      <c r="AF105" s="18"/>
      <c r="AG105" s="18"/>
      <c r="AH105" s="19" t="s">
        <v>79</v>
      </c>
      <c r="AI105" s="19" t="s">
        <v>79</v>
      </c>
      <c r="AJ105" s="37" t="s">
        <v>79</v>
      </c>
      <c r="AK105" s="19" t="s">
        <v>79</v>
      </c>
    </row>
    <row r="106" ht="22.5" customHeight="1">
      <c r="A106" s="15"/>
      <c r="B106" s="15"/>
      <c r="C106" s="16"/>
      <c r="D106" s="16"/>
      <c r="E106" s="17"/>
      <c r="F106" s="16"/>
      <c r="G106" s="16"/>
      <c r="H106" s="17"/>
      <c r="I106" s="16"/>
      <c r="J106" s="17"/>
      <c r="K106" s="16"/>
      <c r="L106" s="16"/>
      <c r="M106" s="16"/>
      <c r="N106" s="16"/>
      <c r="O106" s="16"/>
      <c r="P106" s="16"/>
      <c r="Q106" s="17"/>
      <c r="R106" s="17"/>
      <c r="S106" s="17"/>
      <c r="T106" s="17"/>
      <c r="U106" s="17"/>
      <c r="V106" s="17"/>
      <c r="W106" s="16"/>
      <c r="X106" s="16"/>
      <c r="Y106" s="17"/>
      <c r="Z106" s="17"/>
      <c r="AA106" s="16"/>
      <c r="AB106" s="16"/>
      <c r="AC106" s="16"/>
      <c r="AD106" s="17"/>
      <c r="AE106" s="17"/>
      <c r="AF106" s="18"/>
      <c r="AG106" s="18"/>
      <c r="AH106" s="19" t="s">
        <v>79</v>
      </c>
      <c r="AI106" s="19" t="s">
        <v>79</v>
      </c>
      <c r="AJ106" s="37" t="s">
        <v>79</v>
      </c>
      <c r="AK106" s="19" t="s">
        <v>79</v>
      </c>
    </row>
    <row r="107" ht="22.5" customHeight="1">
      <c r="A107" s="15"/>
      <c r="B107" s="15"/>
      <c r="C107" s="16"/>
      <c r="D107" s="16"/>
      <c r="E107" s="17"/>
      <c r="F107" s="16"/>
      <c r="G107" s="16"/>
      <c r="H107" s="17"/>
      <c r="I107" s="16"/>
      <c r="J107" s="17"/>
      <c r="K107" s="16"/>
      <c r="L107" s="16"/>
      <c r="M107" s="16"/>
      <c r="N107" s="16"/>
      <c r="O107" s="16"/>
      <c r="P107" s="16"/>
      <c r="Q107" s="17"/>
      <c r="R107" s="17"/>
      <c r="S107" s="17"/>
      <c r="T107" s="17"/>
      <c r="U107" s="17"/>
      <c r="V107" s="17"/>
      <c r="W107" s="16"/>
      <c r="X107" s="16"/>
      <c r="Y107" s="17"/>
      <c r="Z107" s="17"/>
      <c r="AA107" s="16"/>
      <c r="AB107" s="16"/>
      <c r="AC107" s="16"/>
      <c r="AD107" s="17"/>
      <c r="AE107" s="17"/>
      <c r="AF107" s="18"/>
      <c r="AG107" s="18"/>
      <c r="AH107" s="19" t="s">
        <v>79</v>
      </c>
      <c r="AI107" s="19" t="s">
        <v>79</v>
      </c>
      <c r="AJ107" s="37" t="s">
        <v>79</v>
      </c>
      <c r="AK107" s="19" t="s">
        <v>79</v>
      </c>
    </row>
    <row r="108" ht="22.5" customHeight="1">
      <c r="A108" s="15"/>
      <c r="B108" s="15"/>
      <c r="C108" s="16"/>
      <c r="D108" s="16"/>
      <c r="E108" s="17"/>
      <c r="F108" s="16"/>
      <c r="G108" s="16"/>
      <c r="H108" s="17"/>
      <c r="I108" s="16"/>
      <c r="J108" s="17"/>
      <c r="K108" s="16"/>
      <c r="L108" s="16"/>
      <c r="M108" s="16"/>
      <c r="N108" s="16"/>
      <c r="O108" s="16"/>
      <c r="P108" s="16"/>
      <c r="Q108" s="17"/>
      <c r="R108" s="17"/>
      <c r="S108" s="17"/>
      <c r="T108" s="17"/>
      <c r="U108" s="17"/>
      <c r="V108" s="17"/>
      <c r="W108" s="16"/>
      <c r="X108" s="16"/>
      <c r="Y108" s="17"/>
      <c r="Z108" s="17"/>
      <c r="AA108" s="16"/>
      <c r="AB108" s="16"/>
      <c r="AC108" s="16"/>
      <c r="AD108" s="17"/>
      <c r="AE108" s="17"/>
      <c r="AF108" s="18"/>
      <c r="AG108" s="18"/>
      <c r="AH108" s="19" t="s">
        <v>79</v>
      </c>
      <c r="AI108" s="19" t="s">
        <v>79</v>
      </c>
      <c r="AJ108" s="37" t="s">
        <v>79</v>
      </c>
      <c r="AK108" s="19" t="s">
        <v>79</v>
      </c>
    </row>
    <row r="109" ht="22.5" customHeight="1">
      <c r="A109" s="15"/>
      <c r="B109" s="15"/>
      <c r="C109" s="16"/>
      <c r="D109" s="16"/>
      <c r="E109" s="17"/>
      <c r="F109" s="16"/>
      <c r="G109" s="16"/>
      <c r="H109" s="17"/>
      <c r="I109" s="16"/>
      <c r="J109" s="17"/>
      <c r="K109" s="16"/>
      <c r="L109" s="16"/>
      <c r="M109" s="16"/>
      <c r="N109" s="16"/>
      <c r="O109" s="16"/>
      <c r="P109" s="16"/>
      <c r="Q109" s="17"/>
      <c r="R109" s="17"/>
      <c r="S109" s="17"/>
      <c r="T109" s="17"/>
      <c r="U109" s="17"/>
      <c r="V109" s="17"/>
      <c r="W109" s="16"/>
      <c r="X109" s="16"/>
      <c r="Y109" s="17"/>
      <c r="Z109" s="17"/>
      <c r="AA109" s="16"/>
      <c r="AB109" s="16"/>
      <c r="AC109" s="16"/>
      <c r="AD109" s="17"/>
      <c r="AE109" s="17"/>
      <c r="AF109" s="18"/>
      <c r="AG109" s="18"/>
      <c r="AH109" s="19" t="s">
        <v>79</v>
      </c>
      <c r="AI109" s="19" t="s">
        <v>79</v>
      </c>
      <c r="AJ109" s="37" t="s">
        <v>79</v>
      </c>
      <c r="AK109" s="19" t="s">
        <v>79</v>
      </c>
    </row>
    <row r="110" ht="22.5" customHeight="1">
      <c r="A110" s="15"/>
      <c r="B110" s="15"/>
      <c r="C110" s="16"/>
      <c r="D110" s="16"/>
      <c r="E110" s="17"/>
      <c r="F110" s="16"/>
      <c r="G110" s="16"/>
      <c r="H110" s="17"/>
      <c r="I110" s="16"/>
      <c r="J110" s="17"/>
      <c r="K110" s="16"/>
      <c r="L110" s="16"/>
      <c r="M110" s="16"/>
      <c r="N110" s="16"/>
      <c r="O110" s="16"/>
      <c r="P110" s="16"/>
      <c r="Q110" s="17"/>
      <c r="R110" s="17"/>
      <c r="S110" s="17"/>
      <c r="T110" s="17"/>
      <c r="U110" s="17"/>
      <c r="V110" s="17"/>
      <c r="W110" s="16"/>
      <c r="X110" s="16"/>
      <c r="Y110" s="17"/>
      <c r="Z110" s="17"/>
      <c r="AA110" s="16"/>
      <c r="AB110" s="16"/>
      <c r="AC110" s="16"/>
      <c r="AD110" s="17"/>
      <c r="AE110" s="17"/>
      <c r="AF110" s="18"/>
      <c r="AG110" s="18"/>
      <c r="AH110" s="19" t="s">
        <v>79</v>
      </c>
      <c r="AI110" s="19" t="s">
        <v>79</v>
      </c>
      <c r="AJ110" s="37" t="s">
        <v>79</v>
      </c>
      <c r="AK110" s="19" t="s">
        <v>79</v>
      </c>
    </row>
    <row r="111" ht="22.5" customHeight="1">
      <c r="A111" s="15"/>
      <c r="B111" s="15"/>
      <c r="C111" s="16"/>
      <c r="D111" s="16"/>
      <c r="E111" s="17"/>
      <c r="F111" s="16"/>
      <c r="G111" s="16"/>
      <c r="H111" s="17"/>
      <c r="I111" s="16"/>
      <c r="J111" s="17"/>
      <c r="K111" s="16"/>
      <c r="L111" s="16"/>
      <c r="M111" s="16"/>
      <c r="N111" s="16"/>
      <c r="O111" s="16"/>
      <c r="P111" s="16"/>
      <c r="Q111" s="17"/>
      <c r="R111" s="17"/>
      <c r="S111" s="17"/>
      <c r="T111" s="17"/>
      <c r="U111" s="17"/>
      <c r="V111" s="17"/>
      <c r="W111" s="16"/>
      <c r="X111" s="16"/>
      <c r="Y111" s="17"/>
      <c r="Z111" s="17"/>
      <c r="AA111" s="16"/>
      <c r="AB111" s="16"/>
      <c r="AC111" s="16"/>
      <c r="AD111" s="17"/>
      <c r="AE111" s="17"/>
      <c r="AF111" s="18"/>
      <c r="AG111" s="18"/>
      <c r="AH111" s="19" t="s">
        <v>79</v>
      </c>
      <c r="AI111" s="19" t="s">
        <v>79</v>
      </c>
      <c r="AJ111" s="37" t="s">
        <v>79</v>
      </c>
      <c r="AK111" s="19" t="s">
        <v>79</v>
      </c>
    </row>
    <row r="112" ht="22.5" customHeight="1">
      <c r="A112" s="15"/>
      <c r="B112" s="15"/>
      <c r="C112" s="16"/>
      <c r="D112" s="16"/>
      <c r="E112" s="17"/>
      <c r="F112" s="16"/>
      <c r="G112" s="16"/>
      <c r="H112" s="17"/>
      <c r="I112" s="16"/>
      <c r="J112" s="17"/>
      <c r="K112" s="16"/>
      <c r="L112" s="16"/>
      <c r="M112" s="16"/>
      <c r="N112" s="16"/>
      <c r="O112" s="16"/>
      <c r="P112" s="16"/>
      <c r="Q112" s="17"/>
      <c r="R112" s="17"/>
      <c r="S112" s="17"/>
      <c r="T112" s="17"/>
      <c r="U112" s="17"/>
      <c r="V112" s="17"/>
      <c r="W112" s="16"/>
      <c r="X112" s="16"/>
      <c r="Y112" s="17"/>
      <c r="Z112" s="17"/>
      <c r="AA112" s="16"/>
      <c r="AB112" s="16"/>
      <c r="AC112" s="16"/>
      <c r="AD112" s="17"/>
      <c r="AE112" s="17"/>
      <c r="AF112" s="18"/>
      <c r="AG112" s="18"/>
      <c r="AH112" s="19" t="s">
        <v>79</v>
      </c>
      <c r="AI112" s="19" t="s">
        <v>79</v>
      </c>
      <c r="AJ112" s="37" t="s">
        <v>79</v>
      </c>
      <c r="AK112" s="19" t="s">
        <v>79</v>
      </c>
    </row>
    <row r="113" ht="22.5" customHeight="1">
      <c r="A113" s="15"/>
      <c r="B113" s="15"/>
      <c r="C113" s="16"/>
      <c r="D113" s="16"/>
      <c r="E113" s="17"/>
      <c r="F113" s="16"/>
      <c r="G113" s="16"/>
      <c r="H113" s="17"/>
      <c r="I113" s="16"/>
      <c r="J113" s="17"/>
      <c r="K113" s="16"/>
      <c r="L113" s="16"/>
      <c r="M113" s="16"/>
      <c r="N113" s="16"/>
      <c r="O113" s="16"/>
      <c r="P113" s="16"/>
      <c r="Q113" s="17"/>
      <c r="R113" s="17"/>
      <c r="S113" s="17"/>
      <c r="T113" s="17"/>
      <c r="U113" s="17"/>
      <c r="V113" s="17"/>
      <c r="W113" s="16"/>
      <c r="X113" s="16"/>
      <c r="Y113" s="17"/>
      <c r="Z113" s="17"/>
      <c r="AA113" s="16"/>
      <c r="AB113" s="16"/>
      <c r="AC113" s="16"/>
      <c r="AD113" s="17"/>
      <c r="AE113" s="17"/>
      <c r="AF113" s="18"/>
      <c r="AG113" s="18"/>
      <c r="AH113" s="19" t="s">
        <v>79</v>
      </c>
      <c r="AI113" s="19" t="s">
        <v>79</v>
      </c>
      <c r="AJ113" s="37" t="s">
        <v>79</v>
      </c>
      <c r="AK113" s="19" t="s">
        <v>79</v>
      </c>
    </row>
    <row r="114" ht="22.5" customHeight="1">
      <c r="A114" s="15"/>
      <c r="B114" s="15"/>
      <c r="C114" s="16"/>
      <c r="D114" s="16"/>
      <c r="E114" s="17"/>
      <c r="F114" s="16"/>
      <c r="G114" s="16"/>
      <c r="H114" s="17"/>
      <c r="I114" s="16"/>
      <c r="J114" s="17"/>
      <c r="K114" s="16"/>
      <c r="L114" s="16"/>
      <c r="M114" s="16"/>
      <c r="N114" s="16"/>
      <c r="O114" s="16"/>
      <c r="P114" s="16"/>
      <c r="Q114" s="17"/>
      <c r="R114" s="17"/>
      <c r="S114" s="17"/>
      <c r="T114" s="17"/>
      <c r="U114" s="17"/>
      <c r="V114" s="17"/>
      <c r="W114" s="16"/>
      <c r="X114" s="16"/>
      <c r="Y114" s="17"/>
      <c r="Z114" s="17"/>
      <c r="AA114" s="16"/>
      <c r="AB114" s="16"/>
      <c r="AC114" s="16"/>
      <c r="AD114" s="17"/>
      <c r="AE114" s="17"/>
      <c r="AF114" s="18"/>
      <c r="AG114" s="18"/>
      <c r="AH114" s="19" t="s">
        <v>79</v>
      </c>
      <c r="AI114" s="19" t="s">
        <v>79</v>
      </c>
      <c r="AJ114" s="37" t="s">
        <v>79</v>
      </c>
      <c r="AK114" s="19" t="s">
        <v>79</v>
      </c>
    </row>
    <row r="115" ht="22.5" customHeight="1">
      <c r="A115" s="15"/>
      <c r="B115" s="15"/>
      <c r="C115" s="16"/>
      <c r="D115" s="16"/>
      <c r="E115" s="17"/>
      <c r="F115" s="16"/>
      <c r="G115" s="16"/>
      <c r="H115" s="17"/>
      <c r="I115" s="16"/>
      <c r="J115" s="17"/>
      <c r="K115" s="16"/>
      <c r="L115" s="16"/>
      <c r="M115" s="16"/>
      <c r="N115" s="16"/>
      <c r="O115" s="16"/>
      <c r="P115" s="16"/>
      <c r="Q115" s="17"/>
      <c r="R115" s="17"/>
      <c r="S115" s="17"/>
      <c r="T115" s="17"/>
      <c r="U115" s="17"/>
      <c r="V115" s="17"/>
      <c r="W115" s="16"/>
      <c r="X115" s="16"/>
      <c r="Y115" s="17"/>
      <c r="Z115" s="17"/>
      <c r="AA115" s="16"/>
      <c r="AB115" s="16"/>
      <c r="AC115" s="16"/>
      <c r="AD115" s="17"/>
      <c r="AE115" s="17"/>
      <c r="AF115" s="18"/>
      <c r="AG115" s="18"/>
      <c r="AH115" s="19" t="s">
        <v>79</v>
      </c>
      <c r="AI115" s="19" t="s">
        <v>79</v>
      </c>
      <c r="AJ115" s="37" t="s">
        <v>79</v>
      </c>
      <c r="AK115" s="19" t="s">
        <v>79</v>
      </c>
    </row>
    <row r="116" ht="22.5" customHeight="1">
      <c r="A116" s="15"/>
      <c r="B116" s="15"/>
      <c r="C116" s="16"/>
      <c r="D116" s="16"/>
      <c r="E116" s="17"/>
      <c r="F116" s="16"/>
      <c r="G116" s="16"/>
      <c r="H116" s="17"/>
      <c r="I116" s="16"/>
      <c r="J116" s="17"/>
      <c r="K116" s="16"/>
      <c r="L116" s="16"/>
      <c r="M116" s="16"/>
      <c r="N116" s="16"/>
      <c r="O116" s="16"/>
      <c r="P116" s="16"/>
      <c r="Q116" s="17"/>
      <c r="R116" s="17"/>
      <c r="S116" s="17"/>
      <c r="T116" s="17"/>
      <c r="U116" s="17"/>
      <c r="V116" s="17"/>
      <c r="W116" s="16"/>
      <c r="X116" s="16"/>
      <c r="Y116" s="17"/>
      <c r="Z116" s="17"/>
      <c r="AA116" s="16"/>
      <c r="AB116" s="16"/>
      <c r="AC116" s="16"/>
      <c r="AD116" s="17"/>
      <c r="AE116" s="17"/>
      <c r="AF116" s="18"/>
      <c r="AG116" s="18"/>
      <c r="AH116" s="19" t="s">
        <v>79</v>
      </c>
      <c r="AI116" s="19" t="s">
        <v>79</v>
      </c>
      <c r="AJ116" s="37" t="s">
        <v>79</v>
      </c>
      <c r="AK116" s="19" t="s">
        <v>79</v>
      </c>
    </row>
    <row r="117" ht="22.5" customHeight="1">
      <c r="A117" s="15"/>
      <c r="B117" s="15"/>
      <c r="C117" s="16"/>
      <c r="D117" s="16"/>
      <c r="E117" s="17"/>
      <c r="F117" s="16"/>
      <c r="G117" s="16"/>
      <c r="H117" s="17"/>
      <c r="I117" s="16"/>
      <c r="J117" s="17"/>
      <c r="K117" s="16"/>
      <c r="L117" s="16"/>
      <c r="M117" s="16"/>
      <c r="N117" s="16"/>
      <c r="O117" s="16"/>
      <c r="P117" s="16"/>
      <c r="Q117" s="17"/>
      <c r="R117" s="17"/>
      <c r="S117" s="17"/>
      <c r="T117" s="17"/>
      <c r="U117" s="17"/>
      <c r="V117" s="17"/>
      <c r="W117" s="16"/>
      <c r="X117" s="16"/>
      <c r="Y117" s="17"/>
      <c r="Z117" s="17"/>
      <c r="AA117" s="16"/>
      <c r="AB117" s="16"/>
      <c r="AC117" s="16"/>
      <c r="AD117" s="17"/>
      <c r="AE117" s="17"/>
      <c r="AF117" s="18"/>
      <c r="AG117" s="18"/>
      <c r="AH117" s="19" t="s">
        <v>79</v>
      </c>
      <c r="AI117" s="19" t="s">
        <v>79</v>
      </c>
      <c r="AJ117" s="37" t="s">
        <v>79</v>
      </c>
      <c r="AK117" s="19" t="s">
        <v>79</v>
      </c>
    </row>
    <row r="118" ht="22.5" customHeight="1">
      <c r="A118" s="15"/>
      <c r="B118" s="15"/>
      <c r="C118" s="16"/>
      <c r="D118" s="16"/>
      <c r="E118" s="17"/>
      <c r="F118" s="16"/>
      <c r="G118" s="16"/>
      <c r="H118" s="17"/>
      <c r="I118" s="16"/>
      <c r="J118" s="17"/>
      <c r="K118" s="16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7"/>
      <c r="W118" s="16"/>
      <c r="X118" s="16"/>
      <c r="Y118" s="17"/>
      <c r="Z118" s="17"/>
      <c r="AA118" s="16"/>
      <c r="AB118" s="16"/>
      <c r="AC118" s="16"/>
      <c r="AD118" s="17"/>
      <c r="AE118" s="17"/>
      <c r="AF118" s="18"/>
      <c r="AG118" s="18"/>
      <c r="AH118" s="19" t="s">
        <v>79</v>
      </c>
      <c r="AI118" s="19" t="s">
        <v>79</v>
      </c>
      <c r="AJ118" s="37" t="s">
        <v>79</v>
      </c>
      <c r="AK118" s="19" t="s">
        <v>79</v>
      </c>
    </row>
    <row r="119" ht="22.5" customHeight="1">
      <c r="A119" s="15"/>
      <c r="B119" s="15"/>
      <c r="C119" s="16"/>
      <c r="D119" s="16"/>
      <c r="E119" s="17"/>
      <c r="F119" s="16"/>
      <c r="G119" s="16"/>
      <c r="H119" s="17"/>
      <c r="I119" s="16"/>
      <c r="J119" s="17"/>
      <c r="K119" s="16"/>
      <c r="L119" s="16"/>
      <c r="M119" s="16"/>
      <c r="N119" s="16"/>
      <c r="O119" s="16"/>
      <c r="P119" s="16"/>
      <c r="Q119" s="17"/>
      <c r="R119" s="17"/>
      <c r="S119" s="17"/>
      <c r="T119" s="17"/>
      <c r="U119" s="17"/>
      <c r="V119" s="17"/>
      <c r="W119" s="16"/>
      <c r="X119" s="16"/>
      <c r="Y119" s="17"/>
      <c r="Z119" s="17"/>
      <c r="AA119" s="16"/>
      <c r="AB119" s="16"/>
      <c r="AC119" s="16"/>
      <c r="AD119" s="17"/>
      <c r="AE119" s="17"/>
      <c r="AF119" s="18"/>
      <c r="AG119" s="18"/>
      <c r="AH119" s="19" t="s">
        <v>79</v>
      </c>
      <c r="AI119" s="19" t="s">
        <v>79</v>
      </c>
      <c r="AJ119" s="37" t="s">
        <v>79</v>
      </c>
      <c r="AK119" s="19" t="s">
        <v>79</v>
      </c>
    </row>
    <row r="120" ht="22.5" customHeight="1">
      <c r="A120" s="15"/>
      <c r="B120" s="15"/>
      <c r="C120" s="16"/>
      <c r="D120" s="16"/>
      <c r="E120" s="17"/>
      <c r="F120" s="16"/>
      <c r="G120" s="16"/>
      <c r="H120" s="17"/>
      <c r="I120" s="16"/>
      <c r="J120" s="17"/>
      <c r="K120" s="16"/>
      <c r="L120" s="16"/>
      <c r="M120" s="16"/>
      <c r="N120" s="16"/>
      <c r="O120" s="16"/>
      <c r="P120" s="16"/>
      <c r="Q120" s="17"/>
      <c r="R120" s="17"/>
      <c r="S120" s="17"/>
      <c r="T120" s="17"/>
      <c r="U120" s="17"/>
      <c r="V120" s="17"/>
      <c r="W120" s="16"/>
      <c r="X120" s="16"/>
      <c r="Y120" s="17"/>
      <c r="Z120" s="17"/>
      <c r="AA120" s="16"/>
      <c r="AB120" s="16"/>
      <c r="AC120" s="16"/>
      <c r="AD120" s="17"/>
      <c r="AE120" s="17"/>
      <c r="AF120" s="18"/>
      <c r="AG120" s="18"/>
      <c r="AH120" s="19" t="s">
        <v>79</v>
      </c>
      <c r="AI120" s="19" t="s">
        <v>79</v>
      </c>
      <c r="AJ120" s="37" t="s">
        <v>79</v>
      </c>
      <c r="AK120" s="19" t="s">
        <v>79</v>
      </c>
    </row>
    <row r="121" ht="22.5" customHeight="1">
      <c r="A121" s="15"/>
      <c r="B121" s="15"/>
      <c r="C121" s="16"/>
      <c r="D121" s="16"/>
      <c r="E121" s="17"/>
      <c r="F121" s="16"/>
      <c r="G121" s="16"/>
      <c r="H121" s="17"/>
      <c r="I121" s="16"/>
      <c r="J121" s="17"/>
      <c r="K121" s="16"/>
      <c r="L121" s="16"/>
      <c r="M121" s="16"/>
      <c r="N121" s="16"/>
      <c r="O121" s="16"/>
      <c r="P121" s="16"/>
      <c r="Q121" s="17"/>
      <c r="R121" s="17"/>
      <c r="S121" s="17"/>
      <c r="T121" s="17"/>
      <c r="U121" s="17"/>
      <c r="V121" s="17"/>
      <c r="W121" s="16"/>
      <c r="X121" s="16"/>
      <c r="Y121" s="17"/>
      <c r="Z121" s="17"/>
      <c r="AA121" s="16"/>
      <c r="AB121" s="16"/>
      <c r="AC121" s="16"/>
      <c r="AD121" s="17"/>
      <c r="AE121" s="17"/>
      <c r="AF121" s="18"/>
      <c r="AG121" s="18"/>
      <c r="AH121" s="19" t="s">
        <v>79</v>
      </c>
      <c r="AI121" s="19" t="s">
        <v>79</v>
      </c>
      <c r="AJ121" s="37" t="s">
        <v>79</v>
      </c>
      <c r="AK121" s="19" t="s">
        <v>79</v>
      </c>
    </row>
    <row r="122" ht="22.5" customHeight="1">
      <c r="A122" s="15"/>
      <c r="B122" s="15"/>
      <c r="C122" s="16"/>
      <c r="D122" s="16"/>
      <c r="E122" s="17"/>
      <c r="F122" s="16"/>
      <c r="G122" s="16"/>
      <c r="H122" s="17"/>
      <c r="I122" s="16"/>
      <c r="J122" s="17"/>
      <c r="K122" s="16"/>
      <c r="L122" s="16"/>
      <c r="M122" s="16"/>
      <c r="N122" s="16"/>
      <c r="O122" s="16"/>
      <c r="P122" s="16"/>
      <c r="Q122" s="17"/>
      <c r="R122" s="17"/>
      <c r="S122" s="17"/>
      <c r="T122" s="17"/>
      <c r="U122" s="17"/>
      <c r="V122" s="17"/>
      <c r="W122" s="16"/>
      <c r="X122" s="16"/>
      <c r="Y122" s="17"/>
      <c r="Z122" s="17"/>
      <c r="AA122" s="16"/>
      <c r="AB122" s="16"/>
      <c r="AC122" s="16"/>
      <c r="AD122" s="17"/>
      <c r="AE122" s="17"/>
      <c r="AF122" s="18"/>
      <c r="AG122" s="18"/>
      <c r="AH122" s="19" t="s">
        <v>79</v>
      </c>
      <c r="AI122" s="19" t="s">
        <v>79</v>
      </c>
      <c r="AJ122" s="37" t="s">
        <v>79</v>
      </c>
      <c r="AK122" s="19" t="s">
        <v>79</v>
      </c>
    </row>
    <row r="123" ht="22.5" customHeight="1">
      <c r="A123" s="15"/>
      <c r="B123" s="15"/>
      <c r="C123" s="16"/>
      <c r="D123" s="16"/>
      <c r="E123" s="17"/>
      <c r="F123" s="16"/>
      <c r="G123" s="16"/>
      <c r="H123" s="17"/>
      <c r="I123" s="16"/>
      <c r="J123" s="17"/>
      <c r="K123" s="16"/>
      <c r="L123" s="16"/>
      <c r="M123" s="16"/>
      <c r="N123" s="16"/>
      <c r="O123" s="16"/>
      <c r="P123" s="16"/>
      <c r="Q123" s="17"/>
      <c r="R123" s="17"/>
      <c r="S123" s="17"/>
      <c r="T123" s="17"/>
      <c r="U123" s="17"/>
      <c r="V123" s="17"/>
      <c r="W123" s="16"/>
      <c r="X123" s="16"/>
      <c r="Y123" s="17"/>
      <c r="Z123" s="17"/>
      <c r="AA123" s="16"/>
      <c r="AB123" s="16"/>
      <c r="AC123" s="16"/>
      <c r="AD123" s="17"/>
      <c r="AE123" s="17"/>
      <c r="AF123" s="18"/>
      <c r="AG123" s="18"/>
      <c r="AH123" s="19" t="s">
        <v>79</v>
      </c>
      <c r="AI123" s="19" t="s">
        <v>79</v>
      </c>
      <c r="AJ123" s="37" t="s">
        <v>79</v>
      </c>
      <c r="AK123" s="19" t="s">
        <v>79</v>
      </c>
    </row>
    <row r="124" ht="22.5" customHeight="1">
      <c r="A124" s="15"/>
      <c r="B124" s="15"/>
      <c r="C124" s="16"/>
      <c r="D124" s="16"/>
      <c r="E124" s="17"/>
      <c r="F124" s="16"/>
      <c r="G124" s="16"/>
      <c r="H124" s="17"/>
      <c r="I124" s="16"/>
      <c r="J124" s="17"/>
      <c r="K124" s="16"/>
      <c r="L124" s="16"/>
      <c r="M124" s="16"/>
      <c r="N124" s="16"/>
      <c r="O124" s="16"/>
      <c r="P124" s="16"/>
      <c r="Q124" s="17"/>
      <c r="R124" s="17"/>
      <c r="S124" s="17"/>
      <c r="T124" s="17"/>
      <c r="U124" s="17"/>
      <c r="V124" s="17"/>
      <c r="W124" s="16"/>
      <c r="X124" s="16"/>
      <c r="Y124" s="17"/>
      <c r="Z124" s="17"/>
      <c r="AA124" s="16"/>
      <c r="AB124" s="16"/>
      <c r="AC124" s="16"/>
      <c r="AD124" s="17"/>
      <c r="AE124" s="17"/>
      <c r="AF124" s="18"/>
      <c r="AG124" s="18"/>
      <c r="AH124" s="19" t="s">
        <v>79</v>
      </c>
      <c r="AI124" s="19" t="s">
        <v>79</v>
      </c>
      <c r="AJ124" s="37" t="s">
        <v>79</v>
      </c>
      <c r="AK124" s="19" t="s">
        <v>79</v>
      </c>
    </row>
    <row r="125" ht="22.5" customHeight="1">
      <c r="A125" s="15"/>
      <c r="B125" s="15"/>
      <c r="C125" s="16"/>
      <c r="D125" s="16"/>
      <c r="E125" s="17"/>
      <c r="F125" s="16"/>
      <c r="G125" s="16"/>
      <c r="H125" s="17"/>
      <c r="I125" s="16"/>
      <c r="J125" s="17"/>
      <c r="K125" s="16"/>
      <c r="L125" s="16"/>
      <c r="M125" s="16"/>
      <c r="N125" s="16"/>
      <c r="O125" s="16"/>
      <c r="P125" s="16"/>
      <c r="Q125" s="17"/>
      <c r="R125" s="17"/>
      <c r="S125" s="17"/>
      <c r="T125" s="17"/>
      <c r="U125" s="17"/>
      <c r="V125" s="17"/>
      <c r="W125" s="16"/>
      <c r="X125" s="16"/>
      <c r="Y125" s="17"/>
      <c r="Z125" s="17"/>
      <c r="AA125" s="16"/>
      <c r="AB125" s="16"/>
      <c r="AC125" s="16"/>
      <c r="AD125" s="17"/>
      <c r="AE125" s="17"/>
      <c r="AF125" s="18"/>
      <c r="AG125" s="18"/>
      <c r="AH125" s="19" t="s">
        <v>79</v>
      </c>
      <c r="AI125" s="19" t="s">
        <v>79</v>
      </c>
      <c r="AJ125" s="37" t="s">
        <v>79</v>
      </c>
      <c r="AK125" s="19" t="s">
        <v>79</v>
      </c>
    </row>
    <row r="126" ht="22.5" customHeight="1">
      <c r="A126" s="15"/>
      <c r="B126" s="15"/>
      <c r="C126" s="16"/>
      <c r="D126" s="16"/>
      <c r="E126" s="17"/>
      <c r="F126" s="16"/>
      <c r="G126" s="16"/>
      <c r="H126" s="17"/>
      <c r="I126" s="16"/>
      <c r="J126" s="17"/>
      <c r="K126" s="16"/>
      <c r="L126" s="16"/>
      <c r="M126" s="16"/>
      <c r="N126" s="16"/>
      <c r="O126" s="16"/>
      <c r="P126" s="16"/>
      <c r="Q126" s="17"/>
      <c r="R126" s="17"/>
      <c r="S126" s="17"/>
      <c r="T126" s="17"/>
      <c r="U126" s="17"/>
      <c r="V126" s="17"/>
      <c r="W126" s="16"/>
      <c r="X126" s="16"/>
      <c r="Y126" s="17"/>
      <c r="Z126" s="17"/>
      <c r="AA126" s="16"/>
      <c r="AB126" s="16"/>
      <c r="AC126" s="16"/>
      <c r="AD126" s="17"/>
      <c r="AE126" s="17"/>
      <c r="AF126" s="18"/>
      <c r="AG126" s="18"/>
      <c r="AH126" s="19" t="s">
        <v>79</v>
      </c>
      <c r="AI126" s="19" t="s">
        <v>79</v>
      </c>
      <c r="AJ126" s="37" t="s">
        <v>79</v>
      </c>
      <c r="AK126" s="19" t="s">
        <v>79</v>
      </c>
    </row>
    <row r="127" ht="22.5" customHeight="1">
      <c r="A127" s="15"/>
      <c r="B127" s="15"/>
      <c r="C127" s="16"/>
      <c r="D127" s="16"/>
      <c r="E127" s="17"/>
      <c r="F127" s="16"/>
      <c r="G127" s="16"/>
      <c r="H127" s="17"/>
      <c r="I127" s="16"/>
      <c r="J127" s="17"/>
      <c r="K127" s="16"/>
      <c r="L127" s="16"/>
      <c r="M127" s="16"/>
      <c r="N127" s="16"/>
      <c r="O127" s="16"/>
      <c r="P127" s="16"/>
      <c r="Q127" s="17"/>
      <c r="R127" s="17"/>
      <c r="S127" s="17"/>
      <c r="T127" s="17"/>
      <c r="U127" s="17"/>
      <c r="V127" s="17"/>
      <c r="W127" s="17"/>
      <c r="X127" s="16"/>
      <c r="Y127" s="17"/>
      <c r="Z127" s="17"/>
      <c r="AA127" s="16"/>
      <c r="AB127" s="16"/>
      <c r="AC127" s="16"/>
      <c r="AD127" s="17"/>
      <c r="AE127" s="17"/>
      <c r="AF127" s="18"/>
      <c r="AG127" s="18"/>
      <c r="AH127" s="19" t="s">
        <v>79</v>
      </c>
      <c r="AI127" s="19" t="s">
        <v>79</v>
      </c>
      <c r="AJ127" s="37" t="s">
        <v>79</v>
      </c>
      <c r="AK127" s="19" t="s">
        <v>79</v>
      </c>
    </row>
    <row r="128" ht="22.5" customHeight="1">
      <c r="A128" s="15"/>
      <c r="B128" s="15"/>
      <c r="C128" s="16"/>
      <c r="D128" s="16"/>
      <c r="E128" s="17"/>
      <c r="F128" s="16"/>
      <c r="G128" s="16"/>
      <c r="H128" s="17"/>
      <c r="I128" s="16"/>
      <c r="J128" s="17"/>
      <c r="K128" s="16"/>
      <c r="L128" s="16"/>
      <c r="M128" s="16"/>
      <c r="N128" s="16"/>
      <c r="O128" s="16"/>
      <c r="P128" s="16"/>
      <c r="Q128" s="17"/>
      <c r="R128" s="17"/>
      <c r="S128" s="17"/>
      <c r="T128" s="17"/>
      <c r="U128" s="17"/>
      <c r="V128" s="17"/>
      <c r="W128" s="16"/>
      <c r="X128" s="16"/>
      <c r="Y128" s="17"/>
      <c r="Z128" s="17"/>
      <c r="AA128" s="16"/>
      <c r="AB128" s="16"/>
      <c r="AC128" s="16"/>
      <c r="AD128" s="17"/>
      <c r="AE128" s="17"/>
      <c r="AF128" s="18"/>
      <c r="AG128" s="18"/>
      <c r="AH128" s="19" t="s">
        <v>79</v>
      </c>
      <c r="AI128" s="19" t="s">
        <v>79</v>
      </c>
      <c r="AJ128" s="37" t="s">
        <v>79</v>
      </c>
      <c r="AK128" s="19" t="s">
        <v>79</v>
      </c>
    </row>
    <row r="129" ht="22.5" customHeight="1">
      <c r="A129" s="15"/>
      <c r="B129" s="15"/>
      <c r="C129" s="16"/>
      <c r="D129" s="16"/>
      <c r="E129" s="17"/>
      <c r="F129" s="16"/>
      <c r="G129" s="16"/>
      <c r="H129" s="17"/>
      <c r="I129" s="16"/>
      <c r="J129" s="17"/>
      <c r="K129" s="16"/>
      <c r="L129" s="16"/>
      <c r="M129" s="16"/>
      <c r="N129" s="16"/>
      <c r="O129" s="16"/>
      <c r="P129" s="16"/>
      <c r="Q129" s="17"/>
      <c r="R129" s="17"/>
      <c r="S129" s="17"/>
      <c r="T129" s="17"/>
      <c r="U129" s="17"/>
      <c r="V129" s="17"/>
      <c r="W129" s="16"/>
      <c r="X129" s="16"/>
      <c r="Y129" s="17"/>
      <c r="Z129" s="17"/>
      <c r="AA129" s="16"/>
      <c r="AB129" s="16"/>
      <c r="AC129" s="16"/>
      <c r="AD129" s="17"/>
      <c r="AE129" s="17"/>
      <c r="AF129" s="18"/>
      <c r="AG129" s="18"/>
      <c r="AH129" s="19" t="s">
        <v>79</v>
      </c>
      <c r="AI129" s="19" t="s">
        <v>79</v>
      </c>
      <c r="AJ129" s="37" t="s">
        <v>79</v>
      </c>
      <c r="AK129" s="19" t="s">
        <v>79</v>
      </c>
    </row>
    <row r="130" ht="22.5" customHeight="1">
      <c r="A130" s="15"/>
      <c r="B130" s="15"/>
      <c r="C130" s="16"/>
      <c r="D130" s="16"/>
      <c r="E130" s="17"/>
      <c r="F130" s="16"/>
      <c r="G130" s="16"/>
      <c r="H130" s="17"/>
      <c r="I130" s="16"/>
      <c r="J130" s="17"/>
      <c r="K130" s="16"/>
      <c r="L130" s="16"/>
      <c r="M130" s="16"/>
      <c r="N130" s="16"/>
      <c r="O130" s="16"/>
      <c r="P130" s="16"/>
      <c r="Q130" s="17"/>
      <c r="R130" s="17"/>
      <c r="S130" s="17"/>
      <c r="T130" s="17"/>
      <c r="U130" s="17"/>
      <c r="V130" s="17"/>
      <c r="W130" s="16"/>
      <c r="X130" s="16"/>
      <c r="Y130" s="17"/>
      <c r="Z130" s="17"/>
      <c r="AA130" s="16"/>
      <c r="AB130" s="16"/>
      <c r="AC130" s="16"/>
      <c r="AD130" s="17"/>
      <c r="AE130" s="17"/>
      <c r="AF130" s="18"/>
      <c r="AG130" s="18"/>
      <c r="AH130" s="19" t="s">
        <v>79</v>
      </c>
      <c r="AI130" s="19" t="s">
        <v>79</v>
      </c>
      <c r="AJ130" s="37" t="s">
        <v>79</v>
      </c>
      <c r="AK130" s="19" t="s">
        <v>79</v>
      </c>
    </row>
    <row r="131" ht="22.5" customHeight="1">
      <c r="A131" s="15"/>
      <c r="B131" s="15"/>
      <c r="C131" s="16"/>
      <c r="D131" s="16"/>
      <c r="E131" s="17"/>
      <c r="F131" s="16"/>
      <c r="G131" s="16"/>
      <c r="H131" s="17"/>
      <c r="I131" s="16"/>
      <c r="J131" s="17"/>
      <c r="K131" s="16"/>
      <c r="L131" s="16"/>
      <c r="M131" s="16"/>
      <c r="N131" s="16"/>
      <c r="O131" s="16"/>
      <c r="P131" s="16"/>
      <c r="Q131" s="17"/>
      <c r="R131" s="17"/>
      <c r="S131" s="17"/>
      <c r="T131" s="17"/>
      <c r="U131" s="17"/>
      <c r="V131" s="17"/>
      <c r="W131" s="16"/>
      <c r="X131" s="16"/>
      <c r="Y131" s="17"/>
      <c r="Z131" s="17"/>
      <c r="AA131" s="16"/>
      <c r="AB131" s="16"/>
      <c r="AC131" s="16"/>
      <c r="AD131" s="17"/>
      <c r="AE131" s="17"/>
      <c r="AF131" s="18"/>
      <c r="AG131" s="18"/>
      <c r="AH131" s="19" t="s">
        <v>79</v>
      </c>
      <c r="AI131" s="19" t="s">
        <v>79</v>
      </c>
      <c r="AJ131" s="37" t="s">
        <v>79</v>
      </c>
      <c r="AK131" s="19" t="s">
        <v>79</v>
      </c>
    </row>
    <row r="132" ht="22.5" customHeight="1">
      <c r="A132" s="15"/>
      <c r="B132" s="15"/>
      <c r="C132" s="16"/>
      <c r="D132" s="16"/>
      <c r="E132" s="17"/>
      <c r="F132" s="16"/>
      <c r="G132" s="16"/>
      <c r="H132" s="17"/>
      <c r="I132" s="16"/>
      <c r="J132" s="17"/>
      <c r="K132" s="16"/>
      <c r="L132" s="16"/>
      <c r="M132" s="16"/>
      <c r="N132" s="16"/>
      <c r="O132" s="16"/>
      <c r="P132" s="16"/>
      <c r="Q132" s="17"/>
      <c r="R132" s="17"/>
      <c r="S132" s="17"/>
      <c r="T132" s="17"/>
      <c r="U132" s="17"/>
      <c r="V132" s="17"/>
      <c r="W132" s="16"/>
      <c r="X132" s="16"/>
      <c r="Y132" s="17"/>
      <c r="Z132" s="17"/>
      <c r="AA132" s="16"/>
      <c r="AB132" s="16"/>
      <c r="AC132" s="16"/>
      <c r="AD132" s="17"/>
      <c r="AE132" s="17"/>
      <c r="AF132" s="18"/>
      <c r="AG132" s="18"/>
      <c r="AH132" s="19" t="s">
        <v>79</v>
      </c>
      <c r="AI132" s="19" t="s">
        <v>79</v>
      </c>
      <c r="AJ132" s="37" t="s">
        <v>79</v>
      </c>
      <c r="AK132" s="19" t="s">
        <v>79</v>
      </c>
    </row>
    <row r="133" ht="22.5" customHeight="1">
      <c r="A133" s="15"/>
      <c r="B133" s="15"/>
      <c r="C133" s="16"/>
      <c r="D133" s="16"/>
      <c r="E133" s="17"/>
      <c r="F133" s="16"/>
      <c r="G133" s="16"/>
      <c r="H133" s="17"/>
      <c r="I133" s="16"/>
      <c r="J133" s="17"/>
      <c r="K133" s="16"/>
      <c r="L133" s="16"/>
      <c r="M133" s="16"/>
      <c r="N133" s="16"/>
      <c r="O133" s="16"/>
      <c r="P133" s="16"/>
      <c r="Q133" s="17"/>
      <c r="R133" s="17"/>
      <c r="S133" s="17"/>
      <c r="T133" s="17"/>
      <c r="U133" s="17"/>
      <c r="V133" s="17"/>
      <c r="W133" s="16"/>
      <c r="X133" s="16"/>
      <c r="Y133" s="17"/>
      <c r="Z133" s="17"/>
      <c r="AA133" s="16"/>
      <c r="AB133" s="16"/>
      <c r="AC133" s="16"/>
      <c r="AD133" s="17"/>
      <c r="AE133" s="17"/>
      <c r="AF133" s="18"/>
      <c r="AG133" s="18"/>
      <c r="AH133" s="19" t="s">
        <v>79</v>
      </c>
      <c r="AI133" s="19" t="s">
        <v>79</v>
      </c>
      <c r="AJ133" s="37" t="s">
        <v>79</v>
      </c>
      <c r="AK133" s="19" t="s">
        <v>79</v>
      </c>
    </row>
    <row r="134" ht="22.5" customHeight="1">
      <c r="A134" s="15"/>
      <c r="B134" s="15"/>
      <c r="C134" s="16"/>
      <c r="D134" s="16"/>
      <c r="E134" s="17"/>
      <c r="F134" s="16"/>
      <c r="G134" s="16"/>
      <c r="H134" s="17"/>
      <c r="I134" s="16"/>
      <c r="J134" s="17"/>
      <c r="K134" s="16"/>
      <c r="L134" s="16"/>
      <c r="M134" s="16"/>
      <c r="N134" s="16"/>
      <c r="O134" s="16"/>
      <c r="P134" s="16"/>
      <c r="Q134" s="17"/>
      <c r="R134" s="17"/>
      <c r="S134" s="17"/>
      <c r="T134" s="17"/>
      <c r="U134" s="17"/>
      <c r="V134" s="17"/>
      <c r="W134" s="16"/>
      <c r="X134" s="16"/>
      <c r="Y134" s="17"/>
      <c r="Z134" s="17"/>
      <c r="AA134" s="16"/>
      <c r="AB134" s="16"/>
      <c r="AC134" s="16"/>
      <c r="AD134" s="17"/>
      <c r="AE134" s="17"/>
      <c r="AF134" s="18"/>
      <c r="AG134" s="18"/>
      <c r="AH134" s="19" t="s">
        <v>79</v>
      </c>
      <c r="AI134" s="19" t="s">
        <v>79</v>
      </c>
      <c r="AJ134" s="37" t="s">
        <v>79</v>
      </c>
      <c r="AK134" s="19" t="s">
        <v>79</v>
      </c>
    </row>
    <row r="135" ht="22.5" customHeight="1">
      <c r="A135" s="15"/>
      <c r="B135" s="15"/>
      <c r="C135" s="16"/>
      <c r="D135" s="16"/>
      <c r="E135" s="17"/>
      <c r="F135" s="16"/>
      <c r="G135" s="16"/>
      <c r="H135" s="17"/>
      <c r="I135" s="16"/>
      <c r="J135" s="17"/>
      <c r="K135" s="16"/>
      <c r="L135" s="16"/>
      <c r="M135" s="16"/>
      <c r="N135" s="16"/>
      <c r="O135" s="16"/>
      <c r="P135" s="16"/>
      <c r="Q135" s="17"/>
      <c r="R135" s="17"/>
      <c r="S135" s="17"/>
      <c r="T135" s="17"/>
      <c r="U135" s="17"/>
      <c r="V135" s="17"/>
      <c r="W135" s="16"/>
      <c r="X135" s="16"/>
      <c r="Y135" s="17"/>
      <c r="Z135" s="17"/>
      <c r="AA135" s="16"/>
      <c r="AB135" s="16"/>
      <c r="AC135" s="16"/>
      <c r="AD135" s="17"/>
      <c r="AE135" s="17"/>
      <c r="AF135" s="18"/>
      <c r="AG135" s="18"/>
      <c r="AH135" s="19" t="s">
        <v>79</v>
      </c>
      <c r="AI135" s="19" t="s">
        <v>79</v>
      </c>
      <c r="AJ135" s="37" t="s">
        <v>79</v>
      </c>
      <c r="AK135" s="19" t="s">
        <v>79</v>
      </c>
    </row>
    <row r="136" ht="22.5" customHeight="1">
      <c r="A136" s="15"/>
      <c r="B136" s="15"/>
      <c r="C136" s="16"/>
      <c r="D136" s="16"/>
      <c r="E136" s="17"/>
      <c r="F136" s="16"/>
      <c r="G136" s="16"/>
      <c r="H136" s="17"/>
      <c r="I136" s="16"/>
      <c r="J136" s="17"/>
      <c r="K136" s="16"/>
      <c r="L136" s="16"/>
      <c r="M136" s="16"/>
      <c r="N136" s="16"/>
      <c r="O136" s="16"/>
      <c r="P136" s="16"/>
      <c r="Q136" s="17"/>
      <c r="R136" s="17"/>
      <c r="S136" s="17"/>
      <c r="T136" s="17"/>
      <c r="U136" s="17"/>
      <c r="V136" s="17"/>
      <c r="W136" s="16"/>
      <c r="X136" s="16"/>
      <c r="Y136" s="17"/>
      <c r="Z136" s="17"/>
      <c r="AA136" s="16"/>
      <c r="AB136" s="16"/>
      <c r="AC136" s="16"/>
      <c r="AD136" s="17"/>
      <c r="AE136" s="17"/>
      <c r="AF136" s="18"/>
      <c r="AG136" s="18"/>
      <c r="AH136" s="19" t="s">
        <v>79</v>
      </c>
      <c r="AI136" s="19" t="s">
        <v>79</v>
      </c>
      <c r="AJ136" s="37" t="s">
        <v>79</v>
      </c>
      <c r="AK136" s="19" t="s">
        <v>79</v>
      </c>
    </row>
    <row r="137" ht="22.5" customHeight="1">
      <c r="A137" s="15"/>
      <c r="B137" s="15"/>
      <c r="C137" s="16"/>
      <c r="D137" s="16"/>
      <c r="E137" s="17"/>
      <c r="F137" s="16"/>
      <c r="G137" s="16"/>
      <c r="H137" s="17"/>
      <c r="I137" s="16"/>
      <c r="J137" s="17"/>
      <c r="K137" s="16"/>
      <c r="L137" s="16"/>
      <c r="M137" s="16"/>
      <c r="N137" s="16"/>
      <c r="O137" s="16"/>
      <c r="P137" s="16"/>
      <c r="Q137" s="17"/>
      <c r="R137" s="17"/>
      <c r="S137" s="17"/>
      <c r="T137" s="17"/>
      <c r="U137" s="17"/>
      <c r="V137" s="17"/>
      <c r="W137" s="17"/>
      <c r="X137" s="16"/>
      <c r="Y137" s="17"/>
      <c r="Z137" s="17"/>
      <c r="AA137" s="16"/>
      <c r="AB137" s="16"/>
      <c r="AC137" s="16"/>
      <c r="AD137" s="17"/>
      <c r="AE137" s="17"/>
      <c r="AF137" s="18"/>
      <c r="AG137" s="18"/>
      <c r="AH137" s="19" t="s">
        <v>79</v>
      </c>
      <c r="AI137" s="19" t="s">
        <v>79</v>
      </c>
      <c r="AJ137" s="37" t="s">
        <v>79</v>
      </c>
      <c r="AK137" s="19" t="s">
        <v>79</v>
      </c>
    </row>
    <row r="138" ht="22.5" customHeight="1">
      <c r="A138" s="15"/>
      <c r="B138" s="15"/>
      <c r="C138" s="16"/>
      <c r="D138" s="16"/>
      <c r="E138" s="17"/>
      <c r="F138" s="16"/>
      <c r="G138" s="16"/>
      <c r="H138" s="17"/>
      <c r="I138" s="16"/>
      <c r="J138" s="17"/>
      <c r="K138" s="16"/>
      <c r="L138" s="16"/>
      <c r="M138" s="16"/>
      <c r="N138" s="16"/>
      <c r="O138" s="16"/>
      <c r="P138" s="16"/>
      <c r="Q138" s="17"/>
      <c r="R138" s="17"/>
      <c r="S138" s="17"/>
      <c r="T138" s="17"/>
      <c r="U138" s="17"/>
      <c r="V138" s="17"/>
      <c r="W138" s="17"/>
      <c r="X138" s="16"/>
      <c r="Y138" s="17"/>
      <c r="Z138" s="17"/>
      <c r="AA138" s="16"/>
      <c r="AB138" s="16"/>
      <c r="AC138" s="16"/>
      <c r="AD138" s="17"/>
      <c r="AE138" s="17"/>
      <c r="AF138" s="18"/>
      <c r="AG138" s="18"/>
      <c r="AH138" s="19" t="s">
        <v>79</v>
      </c>
      <c r="AI138" s="19" t="s">
        <v>79</v>
      </c>
      <c r="AJ138" s="37" t="s">
        <v>79</v>
      </c>
      <c r="AK138" s="19" t="s">
        <v>79</v>
      </c>
    </row>
    <row r="139" ht="22.5" customHeight="1">
      <c r="A139" s="15"/>
      <c r="B139" s="15"/>
      <c r="C139" s="16"/>
      <c r="D139" s="16"/>
      <c r="E139" s="17"/>
      <c r="F139" s="16"/>
      <c r="G139" s="16"/>
      <c r="H139" s="17"/>
      <c r="I139" s="16"/>
      <c r="J139" s="17"/>
      <c r="K139" s="16"/>
      <c r="L139" s="16"/>
      <c r="M139" s="16"/>
      <c r="N139" s="16"/>
      <c r="O139" s="16"/>
      <c r="P139" s="16"/>
      <c r="Q139" s="17"/>
      <c r="R139" s="17"/>
      <c r="S139" s="17"/>
      <c r="T139" s="17"/>
      <c r="U139" s="17"/>
      <c r="V139" s="17"/>
      <c r="W139" s="16"/>
      <c r="X139" s="16"/>
      <c r="Y139" s="17"/>
      <c r="Z139" s="17"/>
      <c r="AA139" s="16"/>
      <c r="AB139" s="16"/>
      <c r="AC139" s="16"/>
      <c r="AD139" s="17"/>
      <c r="AE139" s="17"/>
      <c r="AF139" s="18"/>
      <c r="AG139" s="18"/>
      <c r="AH139" s="19" t="s">
        <v>79</v>
      </c>
      <c r="AI139" s="19" t="s">
        <v>79</v>
      </c>
      <c r="AJ139" s="37" t="s">
        <v>79</v>
      </c>
      <c r="AK139" s="19" t="s">
        <v>79</v>
      </c>
    </row>
    <row r="140" ht="22.5" customHeight="1">
      <c r="A140" s="15"/>
      <c r="B140" s="15"/>
      <c r="C140" s="16"/>
      <c r="D140" s="16"/>
      <c r="E140" s="17"/>
      <c r="F140" s="16"/>
      <c r="G140" s="16"/>
      <c r="H140" s="17"/>
      <c r="I140" s="16"/>
      <c r="J140" s="17"/>
      <c r="K140" s="16"/>
      <c r="L140" s="16"/>
      <c r="M140" s="16"/>
      <c r="N140" s="16"/>
      <c r="O140" s="16"/>
      <c r="P140" s="16"/>
      <c r="Q140" s="17"/>
      <c r="R140" s="17"/>
      <c r="S140" s="17"/>
      <c r="T140" s="17"/>
      <c r="U140" s="17"/>
      <c r="V140" s="17"/>
      <c r="W140" s="17"/>
      <c r="X140" s="16"/>
      <c r="Y140" s="17"/>
      <c r="Z140" s="17"/>
      <c r="AA140" s="16"/>
      <c r="AB140" s="16"/>
      <c r="AC140" s="16"/>
      <c r="AD140" s="17"/>
      <c r="AE140" s="17"/>
      <c r="AF140" s="18"/>
      <c r="AG140" s="18"/>
      <c r="AH140" s="19" t="s">
        <v>79</v>
      </c>
      <c r="AI140" s="19" t="s">
        <v>79</v>
      </c>
      <c r="AJ140" s="37" t="s">
        <v>79</v>
      </c>
      <c r="AK140" s="19" t="s">
        <v>79</v>
      </c>
    </row>
    <row r="141" ht="22.5" customHeight="1">
      <c r="A141" s="15"/>
      <c r="B141" s="15"/>
      <c r="C141" s="16"/>
      <c r="D141" s="16"/>
      <c r="E141" s="17"/>
      <c r="F141" s="16"/>
      <c r="G141" s="16"/>
      <c r="H141" s="17"/>
      <c r="I141" s="16"/>
      <c r="J141" s="17"/>
      <c r="K141" s="16"/>
      <c r="L141" s="16"/>
      <c r="M141" s="16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6"/>
      <c r="Y141" s="17"/>
      <c r="Z141" s="17"/>
      <c r="AA141" s="16"/>
      <c r="AB141" s="16"/>
      <c r="AC141" s="16"/>
      <c r="AD141" s="17"/>
      <c r="AE141" s="17"/>
      <c r="AF141" s="18"/>
      <c r="AG141" s="18"/>
      <c r="AH141" s="19" t="s">
        <v>79</v>
      </c>
      <c r="AI141" s="19" t="s">
        <v>79</v>
      </c>
      <c r="AJ141" s="37" t="s">
        <v>79</v>
      </c>
      <c r="AK141" s="19" t="s">
        <v>79</v>
      </c>
    </row>
    <row r="142" ht="22.5" customHeight="1">
      <c r="A142" s="15"/>
      <c r="B142" s="15"/>
      <c r="C142" s="16"/>
      <c r="D142" s="16"/>
      <c r="E142" s="17"/>
      <c r="F142" s="16"/>
      <c r="G142" s="16"/>
      <c r="H142" s="17"/>
      <c r="I142" s="16"/>
      <c r="J142" s="17"/>
      <c r="K142" s="16"/>
      <c r="L142" s="16"/>
      <c r="M142" s="16"/>
      <c r="N142" s="16"/>
      <c r="O142" s="16"/>
      <c r="P142" s="16"/>
      <c r="Q142" s="17"/>
      <c r="R142" s="17"/>
      <c r="S142" s="17"/>
      <c r="T142" s="17"/>
      <c r="U142" s="17"/>
      <c r="V142" s="17"/>
      <c r="W142" s="17"/>
      <c r="X142" s="16"/>
      <c r="Y142" s="17"/>
      <c r="Z142" s="17"/>
      <c r="AA142" s="16"/>
      <c r="AB142" s="16"/>
      <c r="AC142" s="16"/>
      <c r="AD142" s="17"/>
      <c r="AE142" s="17"/>
      <c r="AF142" s="18"/>
      <c r="AG142" s="18"/>
      <c r="AH142" s="19" t="s">
        <v>79</v>
      </c>
      <c r="AI142" s="19" t="s">
        <v>79</v>
      </c>
      <c r="AJ142" s="37" t="s">
        <v>79</v>
      </c>
      <c r="AK142" s="19" t="s">
        <v>79</v>
      </c>
    </row>
    <row r="143" ht="22.5" customHeight="1">
      <c r="A143" s="15"/>
      <c r="B143" s="15"/>
      <c r="C143" s="16"/>
      <c r="D143" s="16"/>
      <c r="E143" s="17"/>
      <c r="F143" s="16"/>
      <c r="G143" s="16"/>
      <c r="H143" s="17"/>
      <c r="I143" s="16"/>
      <c r="J143" s="17"/>
      <c r="K143" s="16"/>
      <c r="L143" s="16"/>
      <c r="M143" s="16"/>
      <c r="N143" s="16"/>
      <c r="O143" s="16"/>
      <c r="P143" s="16"/>
      <c r="Q143" s="17"/>
      <c r="R143" s="17"/>
      <c r="S143" s="17"/>
      <c r="T143" s="17"/>
      <c r="U143" s="17"/>
      <c r="V143" s="17"/>
      <c r="W143" s="17"/>
      <c r="X143" s="16"/>
      <c r="Y143" s="17"/>
      <c r="Z143" s="17"/>
      <c r="AA143" s="16"/>
      <c r="AB143" s="16"/>
      <c r="AC143" s="16"/>
      <c r="AD143" s="17"/>
      <c r="AE143" s="17"/>
      <c r="AF143" s="18"/>
      <c r="AG143" s="18"/>
      <c r="AH143" s="19" t="s">
        <v>79</v>
      </c>
      <c r="AI143" s="19" t="s">
        <v>79</v>
      </c>
      <c r="AJ143" s="37" t="s">
        <v>79</v>
      </c>
      <c r="AK143" s="19" t="s">
        <v>79</v>
      </c>
    </row>
    <row r="144" ht="22.5" customHeight="1">
      <c r="A144" s="15"/>
      <c r="B144" s="15"/>
      <c r="C144" s="16"/>
      <c r="D144" s="16"/>
      <c r="E144" s="17"/>
      <c r="F144" s="16"/>
      <c r="G144" s="16"/>
      <c r="H144" s="17"/>
      <c r="I144" s="16"/>
      <c r="J144" s="17"/>
      <c r="K144" s="16"/>
      <c r="L144" s="16"/>
      <c r="M144" s="16"/>
      <c r="N144" s="16"/>
      <c r="O144" s="16"/>
      <c r="P144" s="16"/>
      <c r="Q144" s="17"/>
      <c r="R144" s="17"/>
      <c r="S144" s="17"/>
      <c r="T144" s="17"/>
      <c r="U144" s="17"/>
      <c r="V144" s="17"/>
      <c r="W144" s="17"/>
      <c r="X144" s="16"/>
      <c r="Y144" s="17"/>
      <c r="Z144" s="17"/>
      <c r="AA144" s="16"/>
      <c r="AB144" s="16"/>
      <c r="AC144" s="16"/>
      <c r="AD144" s="17"/>
      <c r="AE144" s="17"/>
      <c r="AF144" s="18"/>
      <c r="AG144" s="18"/>
      <c r="AH144" s="19" t="s">
        <v>79</v>
      </c>
      <c r="AI144" s="19" t="s">
        <v>79</v>
      </c>
      <c r="AJ144" s="37" t="s">
        <v>79</v>
      </c>
      <c r="AK144" s="19" t="s">
        <v>79</v>
      </c>
    </row>
    <row r="145" ht="22.5" customHeight="1">
      <c r="A145" s="15"/>
      <c r="B145" s="15"/>
      <c r="C145" s="16"/>
      <c r="D145" s="16"/>
      <c r="E145" s="17"/>
      <c r="F145" s="16"/>
      <c r="G145" s="16"/>
      <c r="H145" s="17"/>
      <c r="I145" s="16"/>
      <c r="J145" s="17"/>
      <c r="K145" s="16"/>
      <c r="L145" s="16"/>
      <c r="M145" s="16"/>
      <c r="N145" s="16"/>
      <c r="O145" s="16"/>
      <c r="P145" s="16"/>
      <c r="Q145" s="17"/>
      <c r="R145" s="17"/>
      <c r="S145" s="17"/>
      <c r="T145" s="17"/>
      <c r="U145" s="17"/>
      <c r="V145" s="17"/>
      <c r="W145" s="16"/>
      <c r="X145" s="16"/>
      <c r="Y145" s="17"/>
      <c r="Z145" s="17"/>
      <c r="AA145" s="16"/>
      <c r="AB145" s="16"/>
      <c r="AC145" s="16"/>
      <c r="AD145" s="17"/>
      <c r="AE145" s="17"/>
      <c r="AF145" s="18"/>
      <c r="AG145" s="18"/>
      <c r="AH145" s="19" t="s">
        <v>79</v>
      </c>
      <c r="AI145" s="19" t="s">
        <v>79</v>
      </c>
      <c r="AJ145" s="37" t="s">
        <v>79</v>
      </c>
      <c r="AK145" s="19" t="s">
        <v>79</v>
      </c>
    </row>
    <row r="146" ht="22.5" customHeight="1">
      <c r="A146" s="15"/>
      <c r="B146" s="15"/>
      <c r="C146" s="16"/>
      <c r="D146" s="16"/>
      <c r="E146" s="17"/>
      <c r="F146" s="16"/>
      <c r="G146" s="16"/>
      <c r="H146" s="17"/>
      <c r="I146" s="16"/>
      <c r="J146" s="17"/>
      <c r="K146" s="16"/>
      <c r="L146" s="16"/>
      <c r="M146" s="16"/>
      <c r="N146" s="16"/>
      <c r="O146" s="16"/>
      <c r="P146" s="16"/>
      <c r="Q146" s="17"/>
      <c r="R146" s="17"/>
      <c r="S146" s="17"/>
      <c r="T146" s="17"/>
      <c r="U146" s="17"/>
      <c r="V146" s="17"/>
      <c r="W146" s="17"/>
      <c r="X146" s="16"/>
      <c r="Y146" s="17"/>
      <c r="Z146" s="17"/>
      <c r="AA146" s="16"/>
      <c r="AB146" s="16"/>
      <c r="AC146" s="16"/>
      <c r="AD146" s="17"/>
      <c r="AE146" s="17"/>
      <c r="AF146" s="18"/>
      <c r="AG146" s="18"/>
      <c r="AH146" s="19" t="s">
        <v>79</v>
      </c>
      <c r="AI146" s="19" t="s">
        <v>79</v>
      </c>
      <c r="AJ146" s="37" t="s">
        <v>79</v>
      </c>
      <c r="AK146" s="19" t="s">
        <v>79</v>
      </c>
    </row>
    <row r="147" ht="22.5" customHeight="1">
      <c r="A147" s="15"/>
      <c r="B147" s="15"/>
      <c r="C147" s="16"/>
      <c r="D147" s="16"/>
      <c r="E147" s="17"/>
      <c r="F147" s="16"/>
      <c r="G147" s="16"/>
      <c r="H147" s="17"/>
      <c r="I147" s="16"/>
      <c r="J147" s="17"/>
      <c r="K147" s="16"/>
      <c r="L147" s="16"/>
      <c r="M147" s="16"/>
      <c r="N147" s="16"/>
      <c r="O147" s="16"/>
      <c r="P147" s="16"/>
      <c r="Q147" s="17"/>
      <c r="R147" s="17"/>
      <c r="S147" s="17"/>
      <c r="T147" s="17"/>
      <c r="U147" s="17"/>
      <c r="V147" s="17"/>
      <c r="W147" s="17"/>
      <c r="X147" s="16"/>
      <c r="Y147" s="17"/>
      <c r="Z147" s="17"/>
      <c r="AA147" s="16"/>
      <c r="AB147" s="16"/>
      <c r="AC147" s="16"/>
      <c r="AD147" s="17"/>
      <c r="AE147" s="17"/>
      <c r="AF147" s="18"/>
      <c r="AG147" s="18"/>
      <c r="AH147" s="19" t="s">
        <v>79</v>
      </c>
      <c r="AI147" s="19" t="s">
        <v>79</v>
      </c>
      <c r="AJ147" s="37" t="s">
        <v>79</v>
      </c>
      <c r="AK147" s="19" t="s">
        <v>79</v>
      </c>
    </row>
    <row r="148" ht="22.5" customHeight="1">
      <c r="A148" s="15"/>
      <c r="B148" s="15"/>
      <c r="C148" s="16"/>
      <c r="D148" s="16"/>
      <c r="E148" s="17"/>
      <c r="F148" s="16"/>
      <c r="G148" s="16"/>
      <c r="H148" s="17"/>
      <c r="I148" s="16"/>
      <c r="J148" s="17"/>
      <c r="K148" s="16"/>
      <c r="L148" s="16"/>
      <c r="M148" s="16"/>
      <c r="N148" s="16"/>
      <c r="O148" s="16"/>
      <c r="P148" s="16"/>
      <c r="Q148" s="17"/>
      <c r="R148" s="17"/>
      <c r="S148" s="17"/>
      <c r="T148" s="17"/>
      <c r="U148" s="17"/>
      <c r="V148" s="17"/>
      <c r="W148" s="17"/>
      <c r="X148" s="16"/>
      <c r="Y148" s="17"/>
      <c r="Z148" s="17"/>
      <c r="AA148" s="16"/>
      <c r="AB148" s="16"/>
      <c r="AC148" s="16"/>
      <c r="AD148" s="17"/>
      <c r="AE148" s="17"/>
      <c r="AF148" s="18"/>
      <c r="AG148" s="18"/>
      <c r="AH148" s="19" t="s">
        <v>79</v>
      </c>
      <c r="AI148" s="19" t="s">
        <v>79</v>
      </c>
      <c r="AJ148" s="37" t="s">
        <v>79</v>
      </c>
      <c r="AK148" s="19" t="s">
        <v>79</v>
      </c>
    </row>
    <row r="149" ht="22.5" customHeight="1">
      <c r="A149" s="15"/>
      <c r="B149" s="15"/>
      <c r="C149" s="16"/>
      <c r="D149" s="16"/>
      <c r="E149" s="17"/>
      <c r="F149" s="16"/>
      <c r="G149" s="16"/>
      <c r="H149" s="17"/>
      <c r="I149" s="16"/>
      <c r="J149" s="17"/>
      <c r="K149" s="16"/>
      <c r="L149" s="16"/>
      <c r="M149" s="16"/>
      <c r="N149" s="16"/>
      <c r="O149" s="16"/>
      <c r="P149" s="16"/>
      <c r="Q149" s="17"/>
      <c r="R149" s="17"/>
      <c r="S149" s="17"/>
      <c r="T149" s="17"/>
      <c r="U149" s="17"/>
      <c r="V149" s="17"/>
      <c r="W149" s="17"/>
      <c r="X149" s="16"/>
      <c r="Y149" s="17"/>
      <c r="Z149" s="17"/>
      <c r="AA149" s="16"/>
      <c r="AB149" s="16"/>
      <c r="AC149" s="16"/>
      <c r="AD149" s="17"/>
      <c r="AE149" s="17"/>
      <c r="AF149" s="18"/>
      <c r="AG149" s="18"/>
      <c r="AH149" s="19" t="s">
        <v>79</v>
      </c>
      <c r="AI149" s="19" t="s">
        <v>79</v>
      </c>
      <c r="AJ149" s="37" t="s">
        <v>79</v>
      </c>
      <c r="AK149" s="19" t="s">
        <v>79</v>
      </c>
    </row>
    <row r="150" ht="22.5" customHeight="1">
      <c r="A150" s="15"/>
      <c r="B150" s="15"/>
      <c r="C150" s="16"/>
      <c r="D150" s="16"/>
      <c r="E150" s="17"/>
      <c r="F150" s="16"/>
      <c r="G150" s="16"/>
      <c r="H150" s="17"/>
      <c r="I150" s="16"/>
      <c r="J150" s="17"/>
      <c r="K150" s="16"/>
      <c r="L150" s="16"/>
      <c r="M150" s="16"/>
      <c r="N150" s="16"/>
      <c r="O150" s="16"/>
      <c r="P150" s="16"/>
      <c r="Q150" s="17"/>
      <c r="R150" s="17"/>
      <c r="S150" s="17"/>
      <c r="T150" s="17"/>
      <c r="U150" s="17"/>
      <c r="V150" s="17"/>
      <c r="W150" s="17"/>
      <c r="X150" s="16"/>
      <c r="Y150" s="17"/>
      <c r="Z150" s="17"/>
      <c r="AA150" s="16"/>
      <c r="AB150" s="16"/>
      <c r="AC150" s="16"/>
      <c r="AD150" s="17"/>
      <c r="AE150" s="17"/>
      <c r="AF150" s="18"/>
      <c r="AG150" s="18"/>
      <c r="AH150" s="19" t="s">
        <v>79</v>
      </c>
      <c r="AI150" s="19" t="s">
        <v>79</v>
      </c>
      <c r="AJ150" s="37" t="s">
        <v>79</v>
      </c>
      <c r="AK150" s="19" t="s">
        <v>79</v>
      </c>
    </row>
    <row r="151" ht="22.5" customHeight="1">
      <c r="A151" s="15"/>
      <c r="B151" s="15"/>
      <c r="C151" s="16"/>
      <c r="D151" s="16"/>
      <c r="E151" s="17"/>
      <c r="F151" s="16"/>
      <c r="G151" s="16"/>
      <c r="H151" s="17"/>
      <c r="I151" s="16"/>
      <c r="J151" s="17"/>
      <c r="K151" s="16"/>
      <c r="L151" s="16"/>
      <c r="M151" s="16"/>
      <c r="N151" s="16"/>
      <c r="O151" s="16"/>
      <c r="P151" s="16"/>
      <c r="Q151" s="17"/>
      <c r="R151" s="17"/>
      <c r="S151" s="17"/>
      <c r="T151" s="17"/>
      <c r="U151" s="17"/>
      <c r="V151" s="17"/>
      <c r="W151" s="17"/>
      <c r="X151" s="16"/>
      <c r="Y151" s="17"/>
      <c r="Z151" s="17"/>
      <c r="AA151" s="16"/>
      <c r="AB151" s="16"/>
      <c r="AC151" s="16"/>
      <c r="AD151" s="17"/>
      <c r="AE151" s="17"/>
      <c r="AF151" s="18"/>
      <c r="AG151" s="18"/>
      <c r="AH151" s="19" t="s">
        <v>79</v>
      </c>
      <c r="AI151" s="19" t="s">
        <v>79</v>
      </c>
      <c r="AJ151" s="37" t="s">
        <v>79</v>
      </c>
      <c r="AK151" s="19" t="s">
        <v>79</v>
      </c>
    </row>
    <row r="152" ht="22.5" customHeight="1">
      <c r="A152" s="15"/>
      <c r="B152" s="15"/>
      <c r="C152" s="16"/>
      <c r="D152" s="16"/>
      <c r="E152" s="17"/>
      <c r="F152" s="16"/>
      <c r="G152" s="16"/>
      <c r="H152" s="17"/>
      <c r="I152" s="16"/>
      <c r="J152" s="17"/>
      <c r="K152" s="16"/>
      <c r="L152" s="16"/>
      <c r="M152" s="16"/>
      <c r="N152" s="16"/>
      <c r="O152" s="16"/>
      <c r="P152" s="16"/>
      <c r="Q152" s="17"/>
      <c r="R152" s="17"/>
      <c r="S152" s="17"/>
      <c r="T152" s="17"/>
      <c r="U152" s="17"/>
      <c r="V152" s="17"/>
      <c r="W152" s="17"/>
      <c r="X152" s="16"/>
      <c r="Y152" s="17"/>
      <c r="Z152" s="17"/>
      <c r="AA152" s="16"/>
      <c r="AB152" s="16"/>
      <c r="AC152" s="16"/>
      <c r="AD152" s="17"/>
      <c r="AE152" s="17"/>
      <c r="AF152" s="18"/>
      <c r="AG152" s="18"/>
      <c r="AH152" s="19" t="s">
        <v>79</v>
      </c>
      <c r="AI152" s="19" t="s">
        <v>79</v>
      </c>
      <c r="AJ152" s="37" t="s">
        <v>79</v>
      </c>
      <c r="AK152" s="19" t="s">
        <v>79</v>
      </c>
    </row>
    <row r="153" ht="22.5" customHeight="1">
      <c r="A153" s="15"/>
      <c r="B153" s="15"/>
      <c r="C153" s="16"/>
      <c r="D153" s="16"/>
      <c r="E153" s="17"/>
      <c r="F153" s="16"/>
      <c r="G153" s="16"/>
      <c r="H153" s="17"/>
      <c r="I153" s="16"/>
      <c r="J153" s="17"/>
      <c r="K153" s="16"/>
      <c r="L153" s="16"/>
      <c r="M153" s="16"/>
      <c r="N153" s="16"/>
      <c r="O153" s="16"/>
      <c r="P153" s="16"/>
      <c r="Q153" s="17"/>
      <c r="R153" s="17"/>
      <c r="S153" s="17"/>
      <c r="T153" s="17"/>
      <c r="U153" s="17"/>
      <c r="V153" s="17"/>
      <c r="W153" s="17"/>
      <c r="X153" s="16"/>
      <c r="Y153" s="17"/>
      <c r="Z153" s="17"/>
      <c r="AA153" s="16"/>
      <c r="AB153" s="16"/>
      <c r="AC153" s="16"/>
      <c r="AD153" s="17"/>
      <c r="AE153" s="17"/>
      <c r="AF153" s="18"/>
      <c r="AG153" s="18"/>
      <c r="AH153" s="19" t="s">
        <v>79</v>
      </c>
      <c r="AI153" s="19" t="s">
        <v>79</v>
      </c>
      <c r="AJ153" s="37" t="s">
        <v>79</v>
      </c>
      <c r="AK153" s="19" t="s">
        <v>79</v>
      </c>
    </row>
    <row r="154" ht="22.5" customHeight="1">
      <c r="A154" s="15"/>
      <c r="B154" s="15"/>
      <c r="C154" s="16"/>
      <c r="D154" s="16"/>
      <c r="E154" s="17"/>
      <c r="F154" s="16"/>
      <c r="G154" s="16"/>
      <c r="H154" s="17"/>
      <c r="I154" s="16"/>
      <c r="J154" s="17"/>
      <c r="K154" s="16"/>
      <c r="L154" s="16"/>
      <c r="M154" s="16"/>
      <c r="N154" s="16"/>
      <c r="O154" s="16"/>
      <c r="P154" s="16"/>
      <c r="Q154" s="17"/>
      <c r="R154" s="17"/>
      <c r="S154" s="17"/>
      <c r="T154" s="17"/>
      <c r="U154" s="17"/>
      <c r="V154" s="17"/>
      <c r="W154" s="17"/>
      <c r="X154" s="16"/>
      <c r="Y154" s="17"/>
      <c r="Z154" s="17"/>
      <c r="AA154" s="16"/>
      <c r="AB154" s="16"/>
      <c r="AC154" s="16"/>
      <c r="AD154" s="17"/>
      <c r="AE154" s="17"/>
      <c r="AF154" s="18"/>
      <c r="AG154" s="18"/>
      <c r="AH154" s="19" t="s">
        <v>79</v>
      </c>
      <c r="AI154" s="19" t="s">
        <v>79</v>
      </c>
      <c r="AJ154" s="37" t="s">
        <v>79</v>
      </c>
      <c r="AK154" s="19" t="s">
        <v>79</v>
      </c>
    </row>
    <row r="155" ht="22.5" customHeight="1">
      <c r="A155" s="15"/>
      <c r="B155" s="15"/>
      <c r="C155" s="16"/>
      <c r="D155" s="16"/>
      <c r="E155" s="17"/>
      <c r="F155" s="16"/>
      <c r="G155" s="16"/>
      <c r="H155" s="17"/>
      <c r="I155" s="16"/>
      <c r="J155" s="17"/>
      <c r="K155" s="16"/>
      <c r="L155" s="16"/>
      <c r="M155" s="16"/>
      <c r="N155" s="16"/>
      <c r="O155" s="16"/>
      <c r="P155" s="16"/>
      <c r="Q155" s="17"/>
      <c r="R155" s="17"/>
      <c r="S155" s="17"/>
      <c r="T155" s="17"/>
      <c r="U155" s="17"/>
      <c r="V155" s="17"/>
      <c r="W155" s="17"/>
      <c r="X155" s="16"/>
      <c r="Y155" s="17"/>
      <c r="Z155" s="17"/>
      <c r="AA155" s="16"/>
      <c r="AB155" s="16"/>
      <c r="AC155" s="16"/>
      <c r="AD155" s="17"/>
      <c r="AE155" s="17"/>
      <c r="AF155" s="18"/>
      <c r="AG155" s="18"/>
      <c r="AH155" s="19" t="s">
        <v>79</v>
      </c>
      <c r="AI155" s="19" t="s">
        <v>79</v>
      </c>
      <c r="AJ155" s="37" t="s">
        <v>79</v>
      </c>
      <c r="AK155" s="19" t="s">
        <v>79</v>
      </c>
    </row>
    <row r="156" ht="22.5" customHeight="1">
      <c r="A156" s="15"/>
      <c r="B156" s="15"/>
      <c r="C156" s="16"/>
      <c r="D156" s="16"/>
      <c r="E156" s="17"/>
      <c r="F156" s="16"/>
      <c r="G156" s="16"/>
      <c r="H156" s="17"/>
      <c r="I156" s="16"/>
      <c r="J156" s="17"/>
      <c r="K156" s="16"/>
      <c r="L156" s="16"/>
      <c r="M156" s="16"/>
      <c r="N156" s="16"/>
      <c r="O156" s="16"/>
      <c r="P156" s="16"/>
      <c r="Q156" s="17"/>
      <c r="R156" s="17"/>
      <c r="S156" s="17"/>
      <c r="T156" s="17"/>
      <c r="U156" s="17"/>
      <c r="V156" s="17"/>
      <c r="W156" s="17"/>
      <c r="X156" s="16"/>
      <c r="Y156" s="17"/>
      <c r="Z156" s="17"/>
      <c r="AA156" s="16"/>
      <c r="AB156" s="16"/>
      <c r="AC156" s="16"/>
      <c r="AD156" s="17"/>
      <c r="AE156" s="17"/>
      <c r="AF156" s="18"/>
      <c r="AG156" s="18"/>
      <c r="AH156" s="19" t="s">
        <v>79</v>
      </c>
      <c r="AI156" s="19" t="s">
        <v>79</v>
      </c>
      <c r="AJ156" s="37" t="s">
        <v>79</v>
      </c>
      <c r="AK156" s="19" t="s">
        <v>79</v>
      </c>
    </row>
    <row r="157" ht="22.5" customHeight="1">
      <c r="A157" s="15"/>
      <c r="B157" s="15"/>
      <c r="C157" s="16"/>
      <c r="D157" s="16"/>
      <c r="E157" s="17"/>
      <c r="F157" s="16"/>
      <c r="G157" s="16"/>
      <c r="H157" s="17"/>
      <c r="I157" s="16"/>
      <c r="J157" s="17"/>
      <c r="K157" s="16"/>
      <c r="L157" s="16"/>
      <c r="M157" s="16"/>
      <c r="N157" s="16"/>
      <c r="O157" s="16"/>
      <c r="P157" s="16"/>
      <c r="Q157" s="17"/>
      <c r="R157" s="17"/>
      <c r="S157" s="17"/>
      <c r="T157" s="17"/>
      <c r="U157" s="17"/>
      <c r="V157" s="17"/>
      <c r="W157" s="16"/>
      <c r="X157" s="16"/>
      <c r="Y157" s="17"/>
      <c r="Z157" s="17"/>
      <c r="AA157" s="16"/>
      <c r="AB157" s="16"/>
      <c r="AC157" s="16"/>
      <c r="AD157" s="17"/>
      <c r="AE157" s="17"/>
      <c r="AF157" s="18"/>
      <c r="AG157" s="18"/>
      <c r="AH157" s="19" t="s">
        <v>79</v>
      </c>
      <c r="AI157" s="19" t="s">
        <v>79</v>
      </c>
      <c r="AJ157" s="37" t="s">
        <v>79</v>
      </c>
      <c r="AK157" s="19" t="s">
        <v>79</v>
      </c>
    </row>
    <row r="158" ht="22.5" customHeight="1">
      <c r="A158" s="15"/>
      <c r="B158" s="15"/>
      <c r="C158" s="16"/>
      <c r="D158" s="16"/>
      <c r="E158" s="17"/>
      <c r="F158" s="16"/>
      <c r="G158" s="16"/>
      <c r="H158" s="17"/>
      <c r="I158" s="16"/>
      <c r="J158" s="17"/>
      <c r="K158" s="16"/>
      <c r="L158" s="16"/>
      <c r="M158" s="16"/>
      <c r="N158" s="16"/>
      <c r="O158" s="16"/>
      <c r="P158" s="16"/>
      <c r="Q158" s="17"/>
      <c r="R158" s="17"/>
      <c r="S158" s="17"/>
      <c r="T158" s="17"/>
      <c r="U158" s="17"/>
      <c r="V158" s="17"/>
      <c r="W158" s="16"/>
      <c r="X158" s="16"/>
      <c r="Y158" s="17"/>
      <c r="Z158" s="17"/>
      <c r="AA158" s="16"/>
      <c r="AB158" s="16"/>
      <c r="AC158" s="16"/>
      <c r="AD158" s="17"/>
      <c r="AE158" s="17"/>
      <c r="AF158" s="18"/>
      <c r="AG158" s="18"/>
      <c r="AH158" s="19" t="s">
        <v>79</v>
      </c>
      <c r="AI158" s="19" t="s">
        <v>79</v>
      </c>
      <c r="AJ158" s="37" t="s">
        <v>79</v>
      </c>
      <c r="AK158" s="19" t="s">
        <v>79</v>
      </c>
    </row>
    <row r="159" ht="22.5" customHeight="1">
      <c r="A159" s="15"/>
      <c r="B159" s="15"/>
      <c r="C159" s="16"/>
      <c r="D159" s="16"/>
      <c r="E159" s="17"/>
      <c r="F159" s="16"/>
      <c r="G159" s="16"/>
      <c r="H159" s="17"/>
      <c r="I159" s="16"/>
      <c r="J159" s="17"/>
      <c r="K159" s="16"/>
      <c r="L159" s="16"/>
      <c r="M159" s="16"/>
      <c r="N159" s="16"/>
      <c r="O159" s="16"/>
      <c r="P159" s="16"/>
      <c r="Q159" s="17"/>
      <c r="R159" s="17"/>
      <c r="S159" s="17"/>
      <c r="T159" s="17"/>
      <c r="U159" s="17"/>
      <c r="V159" s="17"/>
      <c r="W159" s="16"/>
      <c r="X159" s="16"/>
      <c r="Y159" s="17"/>
      <c r="Z159" s="17"/>
      <c r="AA159" s="16"/>
      <c r="AB159" s="16"/>
      <c r="AC159" s="16"/>
      <c r="AD159" s="17"/>
      <c r="AE159" s="17"/>
      <c r="AF159" s="18"/>
      <c r="AG159" s="18"/>
      <c r="AH159" s="19" t="s">
        <v>79</v>
      </c>
      <c r="AI159" s="19" t="s">
        <v>79</v>
      </c>
      <c r="AJ159" s="37" t="s">
        <v>79</v>
      </c>
      <c r="AK159" s="19" t="s">
        <v>79</v>
      </c>
    </row>
    <row r="160" ht="15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7" t="s">
        <v>79</v>
      </c>
      <c r="AI160" s="97" t="s">
        <v>79</v>
      </c>
      <c r="AJ160" s="97" t="s">
        <v>79</v>
      </c>
      <c r="AK160" s="97" t="s">
        <v>79</v>
      </c>
    </row>
    <row r="161" ht="15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7" t="s">
        <v>79</v>
      </c>
      <c r="AI161" s="97" t="s">
        <v>79</v>
      </c>
      <c r="AJ161" s="97" t="s">
        <v>79</v>
      </c>
      <c r="AK161" s="97" t="s">
        <v>79</v>
      </c>
    </row>
    <row r="162" ht="15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7" t="s">
        <v>79</v>
      </c>
      <c r="AI162" s="97" t="s">
        <v>79</v>
      </c>
      <c r="AJ162" s="97" t="s">
        <v>79</v>
      </c>
      <c r="AK162" s="97" t="s">
        <v>79</v>
      </c>
    </row>
    <row r="163" ht="15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7" t="s">
        <v>79</v>
      </c>
      <c r="AI163" s="97" t="s">
        <v>79</v>
      </c>
      <c r="AJ163" s="97" t="s">
        <v>79</v>
      </c>
      <c r="AK163" s="97" t="s">
        <v>79</v>
      </c>
    </row>
    <row r="164" ht="15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7" t="s">
        <v>79</v>
      </c>
      <c r="AI164" s="97" t="s">
        <v>79</v>
      </c>
      <c r="AJ164" s="97" t="s">
        <v>79</v>
      </c>
      <c r="AK164" s="97" t="s">
        <v>79</v>
      </c>
    </row>
    <row r="165" ht="15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7" t="s">
        <v>79</v>
      </c>
      <c r="AI165" s="97" t="s">
        <v>79</v>
      </c>
      <c r="AJ165" s="97" t="s">
        <v>79</v>
      </c>
      <c r="AK165" s="97" t="s">
        <v>79</v>
      </c>
    </row>
    <row r="166" ht="15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7" t="s">
        <v>79</v>
      </c>
      <c r="AI166" s="97" t="s">
        <v>79</v>
      </c>
      <c r="AJ166" s="97" t="s">
        <v>79</v>
      </c>
      <c r="AK166" s="97" t="s">
        <v>79</v>
      </c>
    </row>
    <row r="167" ht="15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7" t="s">
        <v>79</v>
      </c>
      <c r="AI167" s="97" t="s">
        <v>79</v>
      </c>
      <c r="AJ167" s="97" t="s">
        <v>79</v>
      </c>
      <c r="AK167" s="97" t="s">
        <v>79</v>
      </c>
    </row>
    <row r="168" ht="15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7" t="s">
        <v>79</v>
      </c>
      <c r="AI168" s="97" t="s">
        <v>79</v>
      </c>
      <c r="AJ168" s="97" t="s">
        <v>79</v>
      </c>
      <c r="AK168" s="97" t="s">
        <v>79</v>
      </c>
    </row>
    <row r="169" ht="15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7" t="s">
        <v>79</v>
      </c>
      <c r="AI169" s="97" t="s">
        <v>79</v>
      </c>
      <c r="AJ169" s="97" t="s">
        <v>79</v>
      </c>
      <c r="AK169" s="97" t="s">
        <v>79</v>
      </c>
    </row>
    <row r="170" ht="15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7" t="s">
        <v>79</v>
      </c>
      <c r="AI170" s="97" t="s">
        <v>79</v>
      </c>
      <c r="AJ170" s="97" t="s">
        <v>79</v>
      </c>
      <c r="AK170" s="97" t="s">
        <v>79</v>
      </c>
    </row>
    <row r="171" ht="15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7" t="s">
        <v>79</v>
      </c>
      <c r="AI171" s="97" t="s">
        <v>79</v>
      </c>
      <c r="AJ171" s="97" t="s">
        <v>79</v>
      </c>
      <c r="AK171" s="97" t="s">
        <v>79</v>
      </c>
    </row>
    <row r="172" ht="15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7" t="s">
        <v>79</v>
      </c>
      <c r="AI172" s="97" t="s">
        <v>79</v>
      </c>
      <c r="AJ172" s="97" t="s">
        <v>79</v>
      </c>
      <c r="AK172" s="97" t="s">
        <v>79</v>
      </c>
    </row>
    <row r="173" ht="15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7" t="s">
        <v>79</v>
      </c>
      <c r="AI173" s="97" t="s">
        <v>79</v>
      </c>
      <c r="AJ173" s="97" t="s">
        <v>79</v>
      </c>
      <c r="AK173" s="97" t="s">
        <v>79</v>
      </c>
    </row>
    <row r="174" ht="15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7" t="s">
        <v>79</v>
      </c>
      <c r="AI174" s="97" t="s">
        <v>79</v>
      </c>
      <c r="AJ174" s="97" t="s">
        <v>79</v>
      </c>
      <c r="AK174" s="97" t="s">
        <v>79</v>
      </c>
    </row>
    <row r="175" ht="15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7" t="s">
        <v>79</v>
      </c>
      <c r="AI175" s="97" t="s">
        <v>79</v>
      </c>
      <c r="AJ175" s="97" t="s">
        <v>79</v>
      </c>
      <c r="AK175" s="97" t="s">
        <v>79</v>
      </c>
    </row>
    <row r="176" ht="15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7" t="s">
        <v>79</v>
      </c>
      <c r="AI176" s="97" t="s">
        <v>79</v>
      </c>
      <c r="AJ176" s="97" t="s">
        <v>79</v>
      </c>
      <c r="AK176" s="97" t="s">
        <v>79</v>
      </c>
    </row>
    <row r="177" ht="15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7" t="s">
        <v>79</v>
      </c>
      <c r="AI177" s="97" t="s">
        <v>79</v>
      </c>
      <c r="AJ177" s="97" t="s">
        <v>79</v>
      </c>
      <c r="AK177" s="97" t="s">
        <v>79</v>
      </c>
    </row>
    <row r="178" ht="15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7" t="s">
        <v>79</v>
      </c>
      <c r="AI178" s="97" t="s">
        <v>79</v>
      </c>
      <c r="AJ178" s="97" t="s">
        <v>79</v>
      </c>
      <c r="AK178" s="97" t="s">
        <v>79</v>
      </c>
    </row>
    <row r="179" ht="15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7" t="s">
        <v>79</v>
      </c>
      <c r="AI179" s="97" t="s">
        <v>79</v>
      </c>
      <c r="AJ179" s="97" t="s">
        <v>79</v>
      </c>
      <c r="AK179" s="97" t="s">
        <v>79</v>
      </c>
    </row>
    <row r="180" ht="15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7" t="s">
        <v>79</v>
      </c>
      <c r="AI180" s="97" t="s">
        <v>79</v>
      </c>
      <c r="AJ180" s="97" t="s">
        <v>79</v>
      </c>
      <c r="AK180" s="97" t="s">
        <v>79</v>
      </c>
    </row>
    <row r="181" ht="15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7" t="s">
        <v>79</v>
      </c>
      <c r="AI181" s="97" t="s">
        <v>79</v>
      </c>
      <c r="AJ181" s="97" t="s">
        <v>79</v>
      </c>
      <c r="AK181" s="97" t="s">
        <v>79</v>
      </c>
    </row>
    <row r="182" ht="15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7" t="s">
        <v>79</v>
      </c>
      <c r="AI182" s="97" t="s">
        <v>79</v>
      </c>
      <c r="AJ182" s="97" t="s">
        <v>79</v>
      </c>
      <c r="AK182" s="97" t="s">
        <v>79</v>
      </c>
    </row>
    <row r="183" ht="15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7" t="s">
        <v>79</v>
      </c>
      <c r="AI183" s="97" t="s">
        <v>79</v>
      </c>
      <c r="AJ183" s="97" t="s">
        <v>79</v>
      </c>
      <c r="AK183" s="97" t="s">
        <v>79</v>
      </c>
    </row>
    <row r="184" ht="15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7" t="s">
        <v>79</v>
      </c>
      <c r="AI184" s="97" t="s">
        <v>79</v>
      </c>
      <c r="AJ184" s="97" t="s">
        <v>79</v>
      </c>
      <c r="AK184" s="97" t="s">
        <v>79</v>
      </c>
    </row>
    <row r="185" ht="15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7" t="s">
        <v>79</v>
      </c>
      <c r="AI185" s="97" t="s">
        <v>79</v>
      </c>
      <c r="AJ185" s="97" t="s">
        <v>79</v>
      </c>
      <c r="AK185" s="97" t="s">
        <v>79</v>
      </c>
    </row>
    <row r="186" ht="15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7" t="s">
        <v>79</v>
      </c>
      <c r="AI186" s="97" t="s">
        <v>79</v>
      </c>
      <c r="AJ186" s="97" t="s">
        <v>79</v>
      </c>
      <c r="AK186" s="97" t="s">
        <v>79</v>
      </c>
    </row>
    <row r="187" ht="15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7" t="s">
        <v>79</v>
      </c>
      <c r="AI187" s="97" t="s">
        <v>79</v>
      </c>
      <c r="AJ187" s="97" t="s">
        <v>79</v>
      </c>
      <c r="AK187" s="97" t="s">
        <v>79</v>
      </c>
    </row>
    <row r="188" ht="15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7" t="s">
        <v>79</v>
      </c>
      <c r="AI188" s="97" t="s">
        <v>79</v>
      </c>
      <c r="AJ188" s="97" t="s">
        <v>79</v>
      </c>
      <c r="AK188" s="97" t="s">
        <v>79</v>
      </c>
    </row>
    <row r="189" ht="15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7" t="s">
        <v>79</v>
      </c>
      <c r="AI189" s="97" t="s">
        <v>79</v>
      </c>
      <c r="AJ189" s="97" t="s">
        <v>79</v>
      </c>
      <c r="AK189" s="97" t="s">
        <v>79</v>
      </c>
    </row>
    <row r="190" ht="15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7" t="s">
        <v>79</v>
      </c>
      <c r="AI190" s="97" t="s">
        <v>79</v>
      </c>
      <c r="AJ190" s="97" t="s">
        <v>79</v>
      </c>
      <c r="AK190" s="97" t="s">
        <v>79</v>
      </c>
    </row>
    <row r="191" ht="15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7" t="s">
        <v>79</v>
      </c>
      <c r="AI191" s="97" t="s">
        <v>79</v>
      </c>
      <c r="AJ191" s="97" t="s">
        <v>79</v>
      </c>
      <c r="AK191" s="97" t="s">
        <v>79</v>
      </c>
    </row>
    <row r="192" ht="15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7" t="s">
        <v>79</v>
      </c>
      <c r="AI192" s="97" t="s">
        <v>79</v>
      </c>
      <c r="AJ192" s="97" t="s">
        <v>79</v>
      </c>
      <c r="AK192" s="97" t="s">
        <v>79</v>
      </c>
    </row>
    <row r="193" ht="15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7" t="s">
        <v>79</v>
      </c>
      <c r="AI193" s="97" t="s">
        <v>79</v>
      </c>
      <c r="AJ193" s="97" t="s">
        <v>79</v>
      </c>
      <c r="AK193" s="97" t="s">
        <v>79</v>
      </c>
    </row>
    <row r="194" ht="15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7" t="s">
        <v>79</v>
      </c>
      <c r="AI194" s="97" t="s">
        <v>79</v>
      </c>
      <c r="AJ194" s="97" t="s">
        <v>79</v>
      </c>
      <c r="AK194" s="97" t="s">
        <v>79</v>
      </c>
    </row>
    <row r="195" ht="15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7" t="s">
        <v>79</v>
      </c>
      <c r="AI195" s="97" t="s">
        <v>79</v>
      </c>
      <c r="AJ195" s="97" t="s">
        <v>79</v>
      </c>
      <c r="AK195" s="97" t="s">
        <v>79</v>
      </c>
    </row>
    <row r="196" ht="15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7" t="s">
        <v>79</v>
      </c>
      <c r="AI196" s="97" t="s">
        <v>79</v>
      </c>
      <c r="AJ196" s="97" t="s">
        <v>79</v>
      </c>
      <c r="AK196" s="97" t="s">
        <v>79</v>
      </c>
    </row>
    <row r="197" ht="15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7" t="s">
        <v>79</v>
      </c>
      <c r="AI197" s="97" t="s">
        <v>79</v>
      </c>
      <c r="AJ197" s="97" t="s">
        <v>79</v>
      </c>
      <c r="AK197" s="97" t="s">
        <v>79</v>
      </c>
    </row>
    <row r="198" ht="15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7" t="s">
        <v>79</v>
      </c>
      <c r="AI198" s="97" t="s">
        <v>79</v>
      </c>
      <c r="AJ198" s="97" t="s">
        <v>79</v>
      </c>
      <c r="AK198" s="97" t="s">
        <v>79</v>
      </c>
    </row>
    <row r="199" ht="15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7" t="s">
        <v>79</v>
      </c>
      <c r="AI199" s="97" t="s">
        <v>79</v>
      </c>
      <c r="AJ199" s="97" t="s">
        <v>79</v>
      </c>
      <c r="AK199" s="97" t="s">
        <v>79</v>
      </c>
    </row>
    <row r="200" ht="15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7" t="s">
        <v>79</v>
      </c>
      <c r="AI200" s="97" t="s">
        <v>79</v>
      </c>
      <c r="AJ200" s="97" t="s">
        <v>79</v>
      </c>
      <c r="AK200" s="97" t="s">
        <v>79</v>
      </c>
    </row>
    <row r="201" ht="15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7" t="s">
        <v>79</v>
      </c>
      <c r="AI201" s="97" t="s">
        <v>79</v>
      </c>
      <c r="AJ201" s="97" t="s">
        <v>79</v>
      </c>
      <c r="AK201" s="97" t="s">
        <v>79</v>
      </c>
    </row>
    <row r="202" ht="15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7" t="s">
        <v>79</v>
      </c>
      <c r="AI202" s="97" t="s">
        <v>79</v>
      </c>
      <c r="AJ202" s="97" t="s">
        <v>79</v>
      </c>
      <c r="AK202" s="97" t="s">
        <v>79</v>
      </c>
    </row>
    <row r="203" ht="15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7" t="s">
        <v>79</v>
      </c>
      <c r="AI203" s="97" t="s">
        <v>79</v>
      </c>
      <c r="AJ203" s="97" t="s">
        <v>79</v>
      </c>
      <c r="AK203" s="97" t="s">
        <v>79</v>
      </c>
    </row>
    <row r="204" ht="15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7" t="s">
        <v>79</v>
      </c>
      <c r="AI204" s="97" t="s">
        <v>79</v>
      </c>
      <c r="AJ204" s="97" t="s">
        <v>79</v>
      </c>
      <c r="AK204" s="97" t="s">
        <v>79</v>
      </c>
    </row>
    <row r="205" ht="15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7" t="s">
        <v>79</v>
      </c>
      <c r="AI205" s="97" t="s">
        <v>79</v>
      </c>
      <c r="AJ205" s="97" t="s">
        <v>79</v>
      </c>
      <c r="AK205" s="97" t="s">
        <v>79</v>
      </c>
    </row>
    <row r="206" ht="15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7" t="s">
        <v>79</v>
      </c>
      <c r="AI206" s="97" t="s">
        <v>79</v>
      </c>
      <c r="AJ206" s="97" t="s">
        <v>79</v>
      </c>
      <c r="AK206" s="97" t="s">
        <v>79</v>
      </c>
    </row>
    <row r="207" ht="15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7" t="s">
        <v>79</v>
      </c>
      <c r="AI207" s="97" t="s">
        <v>79</v>
      </c>
      <c r="AJ207" s="97" t="s">
        <v>79</v>
      </c>
      <c r="AK207" s="97" t="s">
        <v>79</v>
      </c>
    </row>
    <row r="208" ht="15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7" t="s">
        <v>79</v>
      </c>
      <c r="AI208" s="97" t="s">
        <v>79</v>
      </c>
      <c r="AJ208" s="97" t="s">
        <v>79</v>
      </c>
      <c r="AK208" s="97" t="s">
        <v>79</v>
      </c>
    </row>
    <row r="209" ht="15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7" t="s">
        <v>79</v>
      </c>
      <c r="AI209" s="97" t="s">
        <v>79</v>
      </c>
      <c r="AJ209" s="97" t="s">
        <v>79</v>
      </c>
      <c r="AK209" s="97" t="s">
        <v>79</v>
      </c>
    </row>
    <row r="210" ht="15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7" t="s">
        <v>79</v>
      </c>
      <c r="AI210" s="97" t="s">
        <v>79</v>
      </c>
      <c r="AJ210" s="97" t="s">
        <v>79</v>
      </c>
      <c r="AK210" s="97" t="s">
        <v>79</v>
      </c>
    </row>
    <row r="211" ht="15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7" t="s">
        <v>79</v>
      </c>
      <c r="AI211" s="97" t="s">
        <v>79</v>
      </c>
      <c r="AJ211" s="97" t="s">
        <v>79</v>
      </c>
      <c r="AK211" s="97" t="s">
        <v>79</v>
      </c>
    </row>
    <row r="212" ht="15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7" t="s">
        <v>79</v>
      </c>
      <c r="AI212" s="97" t="s">
        <v>79</v>
      </c>
      <c r="AJ212" s="97" t="s">
        <v>79</v>
      </c>
      <c r="AK212" s="97" t="s">
        <v>79</v>
      </c>
    </row>
    <row r="213" ht="15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7" t="s">
        <v>79</v>
      </c>
      <c r="AI213" s="97" t="s">
        <v>79</v>
      </c>
      <c r="AJ213" s="97" t="s">
        <v>79</v>
      </c>
      <c r="AK213" s="97" t="s">
        <v>79</v>
      </c>
    </row>
    <row r="214" ht="15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7" t="s">
        <v>79</v>
      </c>
      <c r="AI214" s="97" t="s">
        <v>79</v>
      </c>
      <c r="AJ214" s="97" t="s">
        <v>79</v>
      </c>
      <c r="AK214" s="97" t="s">
        <v>79</v>
      </c>
    </row>
    <row r="215" ht="15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7" t="s">
        <v>79</v>
      </c>
      <c r="AI215" s="97" t="s">
        <v>79</v>
      </c>
      <c r="AJ215" s="97" t="s">
        <v>79</v>
      </c>
      <c r="AK215" s="97" t="s">
        <v>79</v>
      </c>
    </row>
    <row r="216" ht="15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7" t="s">
        <v>79</v>
      </c>
      <c r="AI216" s="97" t="s">
        <v>79</v>
      </c>
      <c r="AJ216" s="97" t="s">
        <v>79</v>
      </c>
      <c r="AK216" s="97" t="s">
        <v>79</v>
      </c>
    </row>
    <row r="217" ht="15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  <c r="AH217" s="97" t="s">
        <v>79</v>
      </c>
      <c r="AI217" s="97" t="s">
        <v>79</v>
      </c>
      <c r="AJ217" s="97" t="s">
        <v>79</v>
      </c>
      <c r="AK217" s="97" t="s">
        <v>79</v>
      </c>
    </row>
    <row r="218" ht="15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  <c r="AH218" s="97" t="s">
        <v>79</v>
      </c>
      <c r="AI218" s="97" t="s">
        <v>79</v>
      </c>
      <c r="AJ218" s="97" t="s">
        <v>79</v>
      </c>
      <c r="AK218" s="97" t="s">
        <v>79</v>
      </c>
    </row>
    <row r="219" ht="15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  <c r="AH219" s="97" t="s">
        <v>79</v>
      </c>
      <c r="AI219" s="97" t="s">
        <v>79</v>
      </c>
      <c r="AJ219" s="97" t="s">
        <v>79</v>
      </c>
      <c r="AK219" s="97" t="s">
        <v>79</v>
      </c>
    </row>
    <row r="220" ht="15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7" t="s">
        <v>79</v>
      </c>
      <c r="AI220" s="97" t="s">
        <v>79</v>
      </c>
      <c r="AJ220" s="97" t="s">
        <v>79</v>
      </c>
      <c r="AK220" s="97" t="s">
        <v>79</v>
      </c>
    </row>
    <row r="221" ht="15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7" t="s">
        <v>79</v>
      </c>
      <c r="AI221" s="97" t="s">
        <v>79</v>
      </c>
      <c r="AJ221" s="97" t="s">
        <v>79</v>
      </c>
      <c r="AK221" s="97" t="s">
        <v>79</v>
      </c>
    </row>
    <row r="222" ht="15.7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7" t="s">
        <v>79</v>
      </c>
      <c r="AI222" s="97" t="s">
        <v>79</v>
      </c>
      <c r="AJ222" s="97" t="s">
        <v>79</v>
      </c>
      <c r="AK222" s="97" t="s">
        <v>79</v>
      </c>
    </row>
    <row r="223" ht="15.7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7" t="s">
        <v>79</v>
      </c>
      <c r="AI223" s="97" t="s">
        <v>79</v>
      </c>
      <c r="AJ223" s="97" t="s">
        <v>79</v>
      </c>
      <c r="AK223" s="97" t="s">
        <v>79</v>
      </c>
    </row>
    <row r="224" ht="15.7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  <c r="AH224" s="97" t="s">
        <v>79</v>
      </c>
      <c r="AI224" s="97" t="s">
        <v>79</v>
      </c>
      <c r="AJ224" s="97" t="s">
        <v>79</v>
      </c>
      <c r="AK224" s="97" t="s">
        <v>79</v>
      </c>
    </row>
    <row r="225" ht="15.7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  <c r="AH225" s="97" t="s">
        <v>79</v>
      </c>
      <c r="AI225" s="97" t="s">
        <v>79</v>
      </c>
      <c r="AJ225" s="97" t="s">
        <v>79</v>
      </c>
      <c r="AK225" s="97" t="s">
        <v>79</v>
      </c>
    </row>
    <row r="226" ht="15.7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  <c r="AH226" s="97" t="s">
        <v>79</v>
      </c>
      <c r="AI226" s="97" t="s">
        <v>79</v>
      </c>
      <c r="AJ226" s="97" t="s">
        <v>79</v>
      </c>
      <c r="AK226" s="97" t="s">
        <v>79</v>
      </c>
    </row>
    <row r="227" ht="15.7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  <c r="AH227" s="97" t="s">
        <v>79</v>
      </c>
      <c r="AI227" s="97" t="s">
        <v>79</v>
      </c>
      <c r="AJ227" s="97" t="s">
        <v>79</v>
      </c>
      <c r="AK227" s="97" t="s">
        <v>79</v>
      </c>
    </row>
    <row r="228" ht="15.7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7" t="s">
        <v>79</v>
      </c>
      <c r="AI228" s="97" t="s">
        <v>79</v>
      </c>
      <c r="AJ228" s="97" t="s">
        <v>79</v>
      </c>
      <c r="AK228" s="97" t="s">
        <v>79</v>
      </c>
    </row>
    <row r="229" ht="15.7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7" t="s">
        <v>79</v>
      </c>
      <c r="AI229" s="97" t="s">
        <v>79</v>
      </c>
      <c r="AJ229" s="97" t="s">
        <v>79</v>
      </c>
      <c r="AK229" s="97" t="s">
        <v>79</v>
      </c>
    </row>
    <row r="230" ht="15.7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7" t="s">
        <v>79</v>
      </c>
      <c r="AI230" s="97" t="s">
        <v>79</v>
      </c>
      <c r="AJ230" s="97" t="s">
        <v>79</v>
      </c>
      <c r="AK230" s="97" t="s">
        <v>79</v>
      </c>
    </row>
    <row r="231" ht="15.7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  <c r="AH231" s="97" t="s">
        <v>79</v>
      </c>
      <c r="AI231" s="97" t="s">
        <v>79</v>
      </c>
      <c r="AJ231" s="97" t="s">
        <v>79</v>
      </c>
      <c r="AK231" s="97" t="s">
        <v>79</v>
      </c>
    </row>
    <row r="232" ht="15.7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  <c r="AH232" s="97" t="s">
        <v>79</v>
      </c>
      <c r="AI232" s="97" t="s">
        <v>79</v>
      </c>
      <c r="AJ232" s="97" t="s">
        <v>79</v>
      </c>
      <c r="AK232" s="97" t="s">
        <v>79</v>
      </c>
    </row>
    <row r="233" ht="15.7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  <c r="AH233" s="97" t="s">
        <v>79</v>
      </c>
      <c r="AI233" s="97" t="s">
        <v>79</v>
      </c>
      <c r="AJ233" s="97" t="s">
        <v>79</v>
      </c>
      <c r="AK233" s="97" t="s">
        <v>79</v>
      </c>
    </row>
    <row r="234" ht="15.7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  <c r="AH234" s="97" t="s">
        <v>79</v>
      </c>
      <c r="AI234" s="97" t="s">
        <v>79</v>
      </c>
      <c r="AJ234" s="97" t="s">
        <v>79</v>
      </c>
      <c r="AK234" s="97" t="s">
        <v>79</v>
      </c>
    </row>
    <row r="235" ht="15.7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  <c r="AH235" s="97" t="s">
        <v>79</v>
      </c>
      <c r="AI235" s="97" t="s">
        <v>79</v>
      </c>
      <c r="AJ235" s="97" t="s">
        <v>79</v>
      </c>
      <c r="AK235" s="97" t="s">
        <v>79</v>
      </c>
    </row>
    <row r="236" ht="15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  <c r="AH236" s="97" t="s">
        <v>79</v>
      </c>
      <c r="AI236" s="97" t="s">
        <v>79</v>
      </c>
      <c r="AJ236" s="97" t="s">
        <v>79</v>
      </c>
      <c r="AK236" s="97" t="s">
        <v>79</v>
      </c>
    </row>
    <row r="237" ht="15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  <c r="AH237" s="97" t="s">
        <v>79</v>
      </c>
      <c r="AI237" s="97" t="s">
        <v>79</v>
      </c>
      <c r="AJ237" s="97" t="s">
        <v>79</v>
      </c>
      <c r="AK237" s="97" t="s">
        <v>79</v>
      </c>
    </row>
    <row r="238" ht="15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  <c r="AH238" s="97" t="s">
        <v>79</v>
      </c>
      <c r="AI238" s="97" t="s">
        <v>79</v>
      </c>
      <c r="AJ238" s="97" t="s">
        <v>79</v>
      </c>
      <c r="AK238" s="97" t="s">
        <v>79</v>
      </c>
    </row>
    <row r="239" ht="15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7" t="s">
        <v>79</v>
      </c>
      <c r="AI239" s="97" t="s">
        <v>79</v>
      </c>
      <c r="AJ239" s="97" t="s">
        <v>79</v>
      </c>
      <c r="AK239" s="97" t="s">
        <v>79</v>
      </c>
    </row>
    <row r="240" ht="15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7" t="s">
        <v>79</v>
      </c>
      <c r="AI240" s="97" t="s">
        <v>79</v>
      </c>
      <c r="AJ240" s="97" t="s">
        <v>79</v>
      </c>
      <c r="AK240" s="97" t="s">
        <v>79</v>
      </c>
    </row>
    <row r="241" ht="15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7" t="s">
        <v>79</v>
      </c>
      <c r="AI241" s="97" t="s">
        <v>79</v>
      </c>
      <c r="AJ241" s="97" t="s">
        <v>79</v>
      </c>
      <c r="AK241" s="97" t="s">
        <v>79</v>
      </c>
    </row>
    <row r="242" ht="15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7" t="s">
        <v>79</v>
      </c>
      <c r="AI242" s="97" t="s">
        <v>79</v>
      </c>
      <c r="AJ242" s="97" t="s">
        <v>79</v>
      </c>
      <c r="AK242" s="97" t="s">
        <v>79</v>
      </c>
    </row>
    <row r="243" ht="15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7" t="s">
        <v>79</v>
      </c>
      <c r="AI243" s="97" t="s">
        <v>79</v>
      </c>
      <c r="AJ243" s="97" t="s">
        <v>79</v>
      </c>
      <c r="AK243" s="97" t="s">
        <v>79</v>
      </c>
    </row>
    <row r="244" ht="15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7" t="s">
        <v>79</v>
      </c>
      <c r="AI244" s="97" t="s">
        <v>79</v>
      </c>
      <c r="AJ244" s="97" t="s">
        <v>79</v>
      </c>
      <c r="AK244" s="97" t="s">
        <v>79</v>
      </c>
    </row>
    <row r="245" ht="15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  <c r="AH245" s="97" t="s">
        <v>79</v>
      </c>
      <c r="AI245" s="97" t="s">
        <v>79</v>
      </c>
      <c r="AJ245" s="97" t="s">
        <v>79</v>
      </c>
      <c r="AK245" s="97" t="s">
        <v>79</v>
      </c>
    </row>
    <row r="246" ht="15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97" t="s">
        <v>79</v>
      </c>
      <c r="AI246" s="97" t="s">
        <v>79</v>
      </c>
      <c r="AJ246" s="97" t="s">
        <v>79</v>
      </c>
      <c r="AK246" s="97" t="s">
        <v>79</v>
      </c>
    </row>
    <row r="247" ht="15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  <c r="AH247" s="97" t="s">
        <v>79</v>
      </c>
      <c r="AI247" s="97" t="s">
        <v>79</v>
      </c>
      <c r="AJ247" s="97" t="s">
        <v>79</v>
      </c>
      <c r="AK247" s="97" t="s">
        <v>79</v>
      </c>
    </row>
    <row r="248" ht="15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  <c r="AH248" s="97" t="s">
        <v>79</v>
      </c>
      <c r="AI248" s="97" t="s">
        <v>79</v>
      </c>
      <c r="AJ248" s="97" t="s">
        <v>79</v>
      </c>
      <c r="AK248" s="97" t="s">
        <v>79</v>
      </c>
    </row>
    <row r="249" ht="15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  <c r="AH249" s="97" t="s">
        <v>79</v>
      </c>
      <c r="AI249" s="97" t="s">
        <v>79</v>
      </c>
      <c r="AJ249" s="97" t="s">
        <v>79</v>
      </c>
      <c r="AK249" s="97" t="s">
        <v>79</v>
      </c>
    </row>
    <row r="250" ht="15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7" t="s">
        <v>79</v>
      </c>
      <c r="AI250" s="97" t="s">
        <v>79</v>
      </c>
      <c r="AJ250" s="97" t="s">
        <v>79</v>
      </c>
      <c r="AK250" s="97" t="s">
        <v>79</v>
      </c>
    </row>
    <row r="251" ht="15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7" t="s">
        <v>79</v>
      </c>
      <c r="AI251" s="97" t="s">
        <v>79</v>
      </c>
      <c r="AJ251" s="97" t="s">
        <v>79</v>
      </c>
      <c r="AK251" s="97" t="s">
        <v>79</v>
      </c>
    </row>
    <row r="252" ht="15.7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7" t="s">
        <v>79</v>
      </c>
      <c r="AI252" s="97" t="s">
        <v>79</v>
      </c>
      <c r="AJ252" s="97" t="s">
        <v>79</v>
      </c>
      <c r="AK252" s="97" t="s">
        <v>79</v>
      </c>
    </row>
    <row r="253" ht="15.7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7" t="s">
        <v>79</v>
      </c>
      <c r="AI253" s="97" t="s">
        <v>79</v>
      </c>
      <c r="AJ253" s="97" t="s">
        <v>79</v>
      </c>
      <c r="AK253" s="97" t="s">
        <v>79</v>
      </c>
    </row>
    <row r="254" ht="15.7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  <c r="AG254" s="96"/>
      <c r="AH254" s="97" t="s">
        <v>79</v>
      </c>
      <c r="AI254" s="97" t="s">
        <v>79</v>
      </c>
      <c r="AJ254" s="97" t="s">
        <v>79</v>
      </c>
      <c r="AK254" s="97" t="s">
        <v>79</v>
      </c>
    </row>
    <row r="255" ht="15.7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  <c r="AG255" s="96"/>
      <c r="AH255" s="97" t="s">
        <v>79</v>
      </c>
      <c r="AI255" s="97" t="s">
        <v>79</v>
      </c>
      <c r="AJ255" s="97" t="s">
        <v>79</v>
      </c>
      <c r="AK255" s="97" t="s">
        <v>79</v>
      </c>
    </row>
    <row r="256" ht="15.7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  <c r="AG256" s="96"/>
      <c r="AH256" s="97" t="s">
        <v>79</v>
      </c>
      <c r="AI256" s="97" t="s">
        <v>79</v>
      </c>
      <c r="AJ256" s="97" t="s">
        <v>79</v>
      </c>
      <c r="AK256" s="97" t="s">
        <v>79</v>
      </c>
    </row>
    <row r="257" ht="15.7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  <c r="AG257" s="96"/>
      <c r="AH257" s="97" t="s">
        <v>79</v>
      </c>
      <c r="AI257" s="97" t="s">
        <v>79</v>
      </c>
      <c r="AJ257" s="97" t="s">
        <v>79</v>
      </c>
      <c r="AK257" s="97" t="s">
        <v>79</v>
      </c>
    </row>
    <row r="258" ht="15.7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  <c r="AG258" s="96"/>
      <c r="AH258" s="97" t="s">
        <v>79</v>
      </c>
      <c r="AI258" s="97" t="s">
        <v>79</v>
      </c>
      <c r="AJ258" s="97" t="s">
        <v>79</v>
      </c>
      <c r="AK258" s="97" t="s">
        <v>79</v>
      </c>
    </row>
    <row r="259" ht="15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  <c r="AG259" s="96"/>
      <c r="AH259" s="97" t="s">
        <v>79</v>
      </c>
      <c r="AI259" s="97" t="s">
        <v>79</v>
      </c>
      <c r="AJ259" s="97" t="s">
        <v>79</v>
      </c>
      <c r="AK259" s="97" t="s">
        <v>79</v>
      </c>
    </row>
    <row r="260" ht="15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  <c r="AG260" s="96"/>
      <c r="AH260" s="97" t="s">
        <v>79</v>
      </c>
      <c r="AI260" s="97" t="s">
        <v>79</v>
      </c>
      <c r="AJ260" s="97" t="s">
        <v>79</v>
      </c>
      <c r="AK260" s="97" t="s">
        <v>79</v>
      </c>
    </row>
    <row r="261" ht="15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  <c r="AG261" s="96"/>
      <c r="AH261" s="97" t="s">
        <v>79</v>
      </c>
      <c r="AI261" s="97" t="s">
        <v>79</v>
      </c>
      <c r="AJ261" s="97" t="s">
        <v>79</v>
      </c>
      <c r="AK261" s="97" t="s">
        <v>79</v>
      </c>
    </row>
    <row r="262" ht="15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  <c r="AG262" s="96"/>
      <c r="AH262" s="97" t="s">
        <v>79</v>
      </c>
      <c r="AI262" s="97" t="s">
        <v>79</v>
      </c>
      <c r="AJ262" s="97" t="s">
        <v>79</v>
      </c>
      <c r="AK262" s="97" t="s">
        <v>79</v>
      </c>
    </row>
    <row r="263" ht="15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  <c r="AG263" s="96"/>
      <c r="AH263" s="97" t="s">
        <v>79</v>
      </c>
      <c r="AI263" s="97" t="s">
        <v>79</v>
      </c>
      <c r="AJ263" s="97" t="s">
        <v>79</v>
      </c>
      <c r="AK263" s="97" t="s">
        <v>79</v>
      </c>
    </row>
    <row r="264" ht="15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  <c r="AG264" s="96"/>
      <c r="AH264" s="97" t="s">
        <v>79</v>
      </c>
      <c r="AI264" s="97" t="s">
        <v>79</v>
      </c>
      <c r="AJ264" s="97" t="s">
        <v>79</v>
      </c>
      <c r="AK264" s="97" t="s">
        <v>79</v>
      </c>
    </row>
    <row r="265" ht="15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  <c r="AG265" s="96"/>
      <c r="AH265" s="97" t="s">
        <v>79</v>
      </c>
      <c r="AI265" s="97" t="s">
        <v>79</v>
      </c>
      <c r="AJ265" s="97" t="s">
        <v>79</v>
      </c>
      <c r="AK265" s="97" t="s">
        <v>79</v>
      </c>
    </row>
    <row r="266" ht="15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  <c r="AG266" s="96"/>
      <c r="AH266" s="97" t="s">
        <v>79</v>
      </c>
      <c r="AI266" s="97" t="s">
        <v>79</v>
      </c>
      <c r="AJ266" s="97" t="s">
        <v>79</v>
      </c>
      <c r="AK266" s="97" t="s">
        <v>79</v>
      </c>
    </row>
    <row r="267" ht="15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  <c r="AH267" s="97" t="s">
        <v>79</v>
      </c>
      <c r="AI267" s="97" t="s">
        <v>79</v>
      </c>
      <c r="AJ267" s="97" t="s">
        <v>79</v>
      </c>
      <c r="AK267" s="97" t="s">
        <v>79</v>
      </c>
    </row>
    <row r="268" ht="15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  <c r="AG268" s="96"/>
      <c r="AH268" s="97" t="s">
        <v>79</v>
      </c>
      <c r="AI268" s="97" t="s">
        <v>79</v>
      </c>
      <c r="AJ268" s="97" t="s">
        <v>79</v>
      </c>
      <c r="AK268" s="97" t="s">
        <v>79</v>
      </c>
    </row>
    <row r="269" ht="15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  <c r="AG269" s="96"/>
      <c r="AH269" s="97" t="s">
        <v>79</v>
      </c>
      <c r="AI269" s="97" t="s">
        <v>79</v>
      </c>
      <c r="AJ269" s="97" t="s">
        <v>79</v>
      </c>
      <c r="AK269" s="97" t="s">
        <v>79</v>
      </c>
    </row>
    <row r="270" ht="15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  <c r="AG270" s="96"/>
      <c r="AH270" s="97" t="s">
        <v>79</v>
      </c>
      <c r="AI270" s="97" t="s">
        <v>79</v>
      </c>
      <c r="AJ270" s="97" t="s">
        <v>79</v>
      </c>
      <c r="AK270" s="97" t="s">
        <v>79</v>
      </c>
    </row>
    <row r="271" ht="15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7" t="s">
        <v>79</v>
      </c>
      <c r="AI271" s="97" t="s">
        <v>79</v>
      </c>
      <c r="AJ271" s="97" t="s">
        <v>79</v>
      </c>
      <c r="AK271" s="97" t="s">
        <v>79</v>
      </c>
    </row>
    <row r="272" ht="15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  <c r="AG272" s="96"/>
      <c r="AH272" s="97" t="s">
        <v>79</v>
      </c>
      <c r="AI272" s="97" t="s">
        <v>79</v>
      </c>
      <c r="AJ272" s="97" t="s">
        <v>79</v>
      </c>
      <c r="AK272" s="97" t="s">
        <v>79</v>
      </c>
    </row>
    <row r="273" ht="15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  <c r="AG273" s="96"/>
      <c r="AH273" s="97" t="s">
        <v>79</v>
      </c>
      <c r="AI273" s="97" t="s">
        <v>79</v>
      </c>
      <c r="AJ273" s="97" t="s">
        <v>79</v>
      </c>
      <c r="AK273" s="97" t="s">
        <v>79</v>
      </c>
    </row>
    <row r="274" ht="15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  <c r="AG274" s="96"/>
      <c r="AH274" s="97" t="s">
        <v>79</v>
      </c>
      <c r="AI274" s="97" t="s">
        <v>79</v>
      </c>
      <c r="AJ274" s="97" t="s">
        <v>79</v>
      </c>
      <c r="AK274" s="97" t="s">
        <v>79</v>
      </c>
    </row>
    <row r="275" ht="15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  <c r="AG275" s="96"/>
      <c r="AH275" s="97" t="s">
        <v>79</v>
      </c>
      <c r="AI275" s="97" t="s">
        <v>79</v>
      </c>
      <c r="AJ275" s="97" t="s">
        <v>79</v>
      </c>
      <c r="AK275" s="97" t="s">
        <v>79</v>
      </c>
    </row>
    <row r="276" ht="15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  <c r="AE276" s="96"/>
      <c r="AF276" s="96"/>
      <c r="AG276" s="96"/>
      <c r="AH276" s="97" t="s">
        <v>79</v>
      </c>
      <c r="AI276" s="97" t="s">
        <v>79</v>
      </c>
      <c r="AJ276" s="97" t="s">
        <v>79</v>
      </c>
      <c r="AK276" s="97" t="s">
        <v>79</v>
      </c>
    </row>
    <row r="277" ht="15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  <c r="AE277" s="96"/>
      <c r="AF277" s="96"/>
      <c r="AG277" s="96"/>
      <c r="AH277" s="97" t="s">
        <v>79</v>
      </c>
      <c r="AI277" s="97" t="s">
        <v>79</v>
      </c>
      <c r="AJ277" s="97" t="s">
        <v>79</v>
      </c>
      <c r="AK277" s="97" t="s">
        <v>79</v>
      </c>
    </row>
    <row r="278" ht="15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  <c r="AH278" s="97" t="s">
        <v>79</v>
      </c>
      <c r="AI278" s="97" t="s">
        <v>79</v>
      </c>
      <c r="AJ278" s="97" t="s">
        <v>79</v>
      </c>
      <c r="AK278" s="97" t="s">
        <v>79</v>
      </c>
    </row>
    <row r="279" ht="15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7" t="s">
        <v>79</v>
      </c>
      <c r="AI279" s="97" t="s">
        <v>79</v>
      </c>
      <c r="AJ279" s="97" t="s">
        <v>79</v>
      </c>
      <c r="AK279" s="97" t="s">
        <v>79</v>
      </c>
    </row>
    <row r="280" ht="15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  <c r="AE280" s="96"/>
      <c r="AF280" s="96"/>
      <c r="AG280" s="96"/>
      <c r="AH280" s="97" t="s">
        <v>79</v>
      </c>
      <c r="AI280" s="97" t="s">
        <v>79</v>
      </c>
      <c r="AJ280" s="97" t="s">
        <v>79</v>
      </c>
      <c r="AK280" s="97" t="s">
        <v>79</v>
      </c>
    </row>
    <row r="281" ht="15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  <c r="AE281" s="96"/>
      <c r="AF281" s="96"/>
      <c r="AG281" s="96"/>
      <c r="AH281" s="97" t="s">
        <v>79</v>
      </c>
      <c r="AI281" s="97" t="s">
        <v>79</v>
      </c>
      <c r="AJ281" s="97" t="s">
        <v>79</v>
      </c>
      <c r="AK281" s="97" t="s">
        <v>79</v>
      </c>
    </row>
    <row r="282" ht="15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  <c r="AE282" s="96"/>
      <c r="AF282" s="96"/>
      <c r="AG282" s="96"/>
      <c r="AH282" s="97" t="s">
        <v>79</v>
      </c>
      <c r="AI282" s="97" t="s">
        <v>79</v>
      </c>
      <c r="AJ282" s="97" t="s">
        <v>79</v>
      </c>
      <c r="AK282" s="97" t="s">
        <v>79</v>
      </c>
    </row>
    <row r="283" ht="15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  <c r="AF283" s="96"/>
      <c r="AG283" s="96"/>
      <c r="AH283" s="97" t="s">
        <v>79</v>
      </c>
      <c r="AI283" s="97" t="s">
        <v>79</v>
      </c>
      <c r="AJ283" s="97" t="s">
        <v>79</v>
      </c>
      <c r="AK283" s="97" t="s">
        <v>79</v>
      </c>
    </row>
    <row r="284" ht="15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  <c r="AF284" s="96"/>
      <c r="AG284" s="96"/>
      <c r="AH284" s="97" t="s">
        <v>79</v>
      </c>
      <c r="AI284" s="97" t="s">
        <v>79</v>
      </c>
      <c r="AJ284" s="97" t="s">
        <v>79</v>
      </c>
      <c r="AK284" s="97" t="s">
        <v>79</v>
      </c>
    </row>
    <row r="285" ht="15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  <c r="AG285" s="96"/>
      <c r="AH285" s="97" t="s">
        <v>79</v>
      </c>
      <c r="AI285" s="97" t="s">
        <v>79</v>
      </c>
      <c r="AJ285" s="97" t="s">
        <v>79</v>
      </c>
      <c r="AK285" s="97" t="s">
        <v>79</v>
      </c>
    </row>
    <row r="286" ht="15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  <c r="AF286" s="96"/>
      <c r="AG286" s="96"/>
      <c r="AH286" s="97" t="s">
        <v>79</v>
      </c>
      <c r="AI286" s="97" t="s">
        <v>79</v>
      </c>
      <c r="AJ286" s="97" t="s">
        <v>79</v>
      </c>
      <c r="AK286" s="97" t="s">
        <v>79</v>
      </c>
    </row>
    <row r="287" ht="15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  <c r="AF287" s="96"/>
      <c r="AG287" s="96"/>
      <c r="AH287" s="97" t="s">
        <v>79</v>
      </c>
      <c r="AI287" s="97" t="s">
        <v>79</v>
      </c>
      <c r="AJ287" s="97" t="s">
        <v>79</v>
      </c>
      <c r="AK287" s="97" t="s">
        <v>79</v>
      </c>
    </row>
    <row r="288" ht="15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  <c r="AF288" s="96"/>
      <c r="AG288" s="96"/>
      <c r="AH288" s="97" t="s">
        <v>79</v>
      </c>
      <c r="AI288" s="97" t="s">
        <v>79</v>
      </c>
      <c r="AJ288" s="97" t="s">
        <v>79</v>
      </c>
      <c r="AK288" s="97" t="s">
        <v>79</v>
      </c>
    </row>
    <row r="289" ht="15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  <c r="AF289" s="96"/>
      <c r="AG289" s="96"/>
      <c r="AH289" s="97" t="s">
        <v>79</v>
      </c>
      <c r="AI289" s="97" t="s">
        <v>79</v>
      </c>
      <c r="AJ289" s="97" t="s">
        <v>79</v>
      </c>
      <c r="AK289" s="97" t="s">
        <v>79</v>
      </c>
    </row>
    <row r="290" ht="15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  <c r="AG290" s="96"/>
      <c r="AH290" s="97" t="s">
        <v>79</v>
      </c>
      <c r="AI290" s="97" t="s">
        <v>79</v>
      </c>
      <c r="AJ290" s="97" t="s">
        <v>79</v>
      </c>
      <c r="AK290" s="97" t="s">
        <v>79</v>
      </c>
    </row>
    <row r="291" ht="15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  <c r="AF291" s="96"/>
      <c r="AG291" s="96"/>
      <c r="AH291" s="97" t="s">
        <v>79</v>
      </c>
      <c r="AI291" s="97" t="s">
        <v>79</v>
      </c>
      <c r="AJ291" s="97" t="s">
        <v>79</v>
      </c>
      <c r="AK291" s="97" t="s">
        <v>79</v>
      </c>
    </row>
    <row r="292" ht="15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  <c r="AE292" s="96"/>
      <c r="AF292" s="96"/>
      <c r="AG292" s="96"/>
      <c r="AH292" s="97" t="s">
        <v>79</v>
      </c>
      <c r="AI292" s="97" t="s">
        <v>79</v>
      </c>
      <c r="AJ292" s="97" t="s">
        <v>79</v>
      </c>
      <c r="AK292" s="97" t="s">
        <v>79</v>
      </c>
    </row>
    <row r="293" ht="15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  <c r="AE293" s="96"/>
      <c r="AF293" s="96"/>
      <c r="AG293" s="96"/>
      <c r="AH293" s="97" t="s">
        <v>79</v>
      </c>
      <c r="AI293" s="97" t="s">
        <v>79</v>
      </c>
      <c r="AJ293" s="97" t="s">
        <v>79</v>
      </c>
      <c r="AK293" s="97" t="s">
        <v>79</v>
      </c>
    </row>
    <row r="294" ht="15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  <c r="AD294" s="96"/>
      <c r="AE294" s="96"/>
      <c r="AF294" s="96"/>
      <c r="AG294" s="96"/>
      <c r="AH294" s="97" t="s">
        <v>79</v>
      </c>
      <c r="AI294" s="97" t="s">
        <v>79</v>
      </c>
      <c r="AJ294" s="97" t="s">
        <v>79</v>
      </c>
      <c r="AK294" s="97" t="s">
        <v>79</v>
      </c>
    </row>
    <row r="295" ht="15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  <c r="AD295" s="96"/>
      <c r="AE295" s="96"/>
      <c r="AF295" s="96"/>
      <c r="AG295" s="96"/>
      <c r="AH295" s="97" t="s">
        <v>79</v>
      </c>
      <c r="AI295" s="97" t="s">
        <v>79</v>
      </c>
      <c r="AJ295" s="97" t="s">
        <v>79</v>
      </c>
      <c r="AK295" s="97" t="s">
        <v>79</v>
      </c>
    </row>
    <row r="296" ht="15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96"/>
      <c r="AF296" s="96"/>
      <c r="AG296" s="96"/>
      <c r="AH296" s="97" t="s">
        <v>79</v>
      </c>
      <c r="AI296" s="97" t="s">
        <v>79</v>
      </c>
      <c r="AJ296" s="97" t="s">
        <v>79</v>
      </c>
      <c r="AK296" s="97" t="s">
        <v>79</v>
      </c>
    </row>
    <row r="297" ht="15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  <c r="AD297" s="96"/>
      <c r="AE297" s="96"/>
      <c r="AF297" s="96"/>
      <c r="AG297" s="96"/>
      <c r="AH297" s="97" t="s">
        <v>79</v>
      </c>
      <c r="AI297" s="97" t="s">
        <v>79</v>
      </c>
      <c r="AJ297" s="97" t="s">
        <v>79</v>
      </c>
      <c r="AK297" s="97" t="s">
        <v>79</v>
      </c>
    </row>
    <row r="298" ht="15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  <c r="AD298" s="96"/>
      <c r="AE298" s="96"/>
      <c r="AF298" s="96"/>
      <c r="AG298" s="96"/>
      <c r="AH298" s="97" t="s">
        <v>79</v>
      </c>
      <c r="AI298" s="97" t="s">
        <v>79</v>
      </c>
      <c r="AJ298" s="97" t="s">
        <v>79</v>
      </c>
      <c r="AK298" s="97" t="s">
        <v>79</v>
      </c>
    </row>
    <row r="299" ht="15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  <c r="AD299" s="96"/>
      <c r="AE299" s="96"/>
      <c r="AF299" s="96"/>
      <c r="AG299" s="96"/>
      <c r="AH299" s="97" t="s">
        <v>79</v>
      </c>
      <c r="AI299" s="97" t="s">
        <v>79</v>
      </c>
      <c r="AJ299" s="97" t="s">
        <v>79</v>
      </c>
      <c r="AK299" s="97" t="s">
        <v>79</v>
      </c>
    </row>
    <row r="300" ht="15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  <c r="AD300" s="96"/>
      <c r="AE300" s="96"/>
      <c r="AF300" s="96"/>
      <c r="AG300" s="96"/>
      <c r="AH300" s="97" t="s">
        <v>79</v>
      </c>
      <c r="AI300" s="97" t="s">
        <v>79</v>
      </c>
      <c r="AJ300" s="97" t="s">
        <v>79</v>
      </c>
      <c r="AK300" s="97" t="s">
        <v>79</v>
      </c>
    </row>
    <row r="301" ht="15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  <c r="AD301" s="96"/>
      <c r="AE301" s="96"/>
      <c r="AF301" s="96"/>
      <c r="AG301" s="96"/>
      <c r="AH301" s="97" t="s">
        <v>79</v>
      </c>
      <c r="AI301" s="97" t="s">
        <v>79</v>
      </c>
      <c r="AJ301" s="97" t="s">
        <v>79</v>
      </c>
      <c r="AK301" s="97" t="s">
        <v>79</v>
      </c>
    </row>
    <row r="302" ht="15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  <c r="AD302" s="96"/>
      <c r="AE302" s="96"/>
      <c r="AF302" s="96"/>
      <c r="AG302" s="96"/>
      <c r="AH302" s="97" t="s">
        <v>79</v>
      </c>
      <c r="AI302" s="97" t="s">
        <v>79</v>
      </c>
      <c r="AJ302" s="97" t="s">
        <v>79</v>
      </c>
      <c r="AK302" s="97" t="s">
        <v>79</v>
      </c>
    </row>
    <row r="303" ht="15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  <c r="AD303" s="96"/>
      <c r="AE303" s="96"/>
      <c r="AF303" s="96"/>
      <c r="AG303" s="96"/>
      <c r="AH303" s="97" t="s">
        <v>79</v>
      </c>
      <c r="AI303" s="97" t="s">
        <v>79</v>
      </c>
      <c r="AJ303" s="97" t="s">
        <v>79</v>
      </c>
      <c r="AK303" s="97" t="s">
        <v>79</v>
      </c>
    </row>
    <row r="304" ht="15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  <c r="AE304" s="96"/>
      <c r="AF304" s="96"/>
      <c r="AG304" s="96"/>
      <c r="AH304" s="97" t="s">
        <v>79</v>
      </c>
      <c r="AI304" s="97" t="s">
        <v>79</v>
      </c>
      <c r="AJ304" s="97" t="s">
        <v>79</v>
      </c>
      <c r="AK304" s="97" t="s">
        <v>79</v>
      </c>
    </row>
    <row r="305" ht="15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  <c r="AD305" s="96"/>
      <c r="AE305" s="96"/>
      <c r="AF305" s="96"/>
      <c r="AG305" s="96"/>
      <c r="AH305" s="97" t="s">
        <v>79</v>
      </c>
      <c r="AI305" s="97" t="s">
        <v>79</v>
      </c>
      <c r="AJ305" s="97" t="s">
        <v>79</v>
      </c>
      <c r="AK305" s="97" t="s">
        <v>79</v>
      </c>
    </row>
    <row r="306" ht="15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  <c r="AD306" s="96"/>
      <c r="AE306" s="96"/>
      <c r="AF306" s="96"/>
      <c r="AG306" s="96"/>
      <c r="AH306" s="97" t="s">
        <v>79</v>
      </c>
      <c r="AI306" s="97" t="s">
        <v>79</v>
      </c>
      <c r="AJ306" s="97" t="s">
        <v>79</v>
      </c>
      <c r="AK306" s="97" t="s">
        <v>79</v>
      </c>
    </row>
    <row r="307" ht="15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  <c r="AD307" s="96"/>
      <c r="AE307" s="96"/>
      <c r="AF307" s="96"/>
      <c r="AG307" s="96"/>
      <c r="AH307" s="97" t="s">
        <v>79</v>
      </c>
      <c r="AI307" s="97" t="s">
        <v>79</v>
      </c>
      <c r="AJ307" s="97" t="s">
        <v>79</v>
      </c>
      <c r="AK307" s="97" t="s">
        <v>79</v>
      </c>
    </row>
    <row r="308" ht="15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  <c r="AD308" s="96"/>
      <c r="AE308" s="96"/>
      <c r="AF308" s="96"/>
      <c r="AG308" s="96"/>
      <c r="AH308" s="97" t="s">
        <v>79</v>
      </c>
      <c r="AI308" s="97" t="s">
        <v>79</v>
      </c>
      <c r="AJ308" s="97" t="s">
        <v>79</v>
      </c>
      <c r="AK308" s="97" t="s">
        <v>79</v>
      </c>
    </row>
    <row r="309" ht="15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  <c r="AD309" s="96"/>
      <c r="AE309" s="96"/>
      <c r="AF309" s="96"/>
      <c r="AG309" s="96"/>
      <c r="AH309" s="97" t="s">
        <v>79</v>
      </c>
      <c r="AI309" s="97" t="s">
        <v>79</v>
      </c>
      <c r="AJ309" s="97" t="s">
        <v>79</v>
      </c>
      <c r="AK309" s="97" t="s">
        <v>79</v>
      </c>
    </row>
    <row r="310" ht="15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  <c r="AD310" s="96"/>
      <c r="AE310" s="96"/>
      <c r="AF310" s="96"/>
      <c r="AG310" s="96"/>
      <c r="AH310" s="97" t="s">
        <v>79</v>
      </c>
      <c r="AI310" s="97" t="s">
        <v>79</v>
      </c>
      <c r="AJ310" s="97" t="s">
        <v>79</v>
      </c>
      <c r="AK310" s="97" t="s">
        <v>79</v>
      </c>
    </row>
    <row r="311" ht="15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  <c r="AD311" s="96"/>
      <c r="AE311" s="96"/>
      <c r="AF311" s="96"/>
      <c r="AG311" s="96"/>
      <c r="AH311" s="97" t="s">
        <v>79</v>
      </c>
      <c r="AI311" s="97" t="s">
        <v>79</v>
      </c>
      <c r="AJ311" s="97" t="s">
        <v>79</v>
      </c>
      <c r="AK311" s="97" t="s">
        <v>79</v>
      </c>
    </row>
    <row r="312" ht="15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  <c r="AD312" s="96"/>
      <c r="AE312" s="96"/>
      <c r="AF312" s="96"/>
      <c r="AG312" s="96"/>
      <c r="AH312" s="97" t="s">
        <v>79</v>
      </c>
      <c r="AI312" s="97" t="s">
        <v>79</v>
      </c>
      <c r="AJ312" s="97" t="s">
        <v>79</v>
      </c>
      <c r="AK312" s="97" t="s">
        <v>79</v>
      </c>
    </row>
    <row r="313" ht="15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  <c r="AD313" s="96"/>
      <c r="AE313" s="96"/>
      <c r="AF313" s="96"/>
      <c r="AG313" s="96"/>
      <c r="AH313" s="97" t="s">
        <v>79</v>
      </c>
      <c r="AI313" s="97" t="s">
        <v>79</v>
      </c>
      <c r="AJ313" s="97" t="s">
        <v>79</v>
      </c>
      <c r="AK313" s="97" t="s">
        <v>79</v>
      </c>
    </row>
    <row r="314" ht="15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  <c r="AD314" s="96"/>
      <c r="AE314" s="96"/>
      <c r="AF314" s="96"/>
      <c r="AG314" s="96"/>
      <c r="AH314" s="97" t="s">
        <v>79</v>
      </c>
      <c r="AI314" s="97" t="s">
        <v>79</v>
      </c>
      <c r="AJ314" s="97" t="s">
        <v>79</v>
      </c>
      <c r="AK314" s="97" t="s">
        <v>79</v>
      </c>
    </row>
    <row r="315" ht="15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  <c r="AD315" s="96"/>
      <c r="AE315" s="96"/>
      <c r="AF315" s="96"/>
      <c r="AG315" s="96"/>
      <c r="AH315" s="97" t="s">
        <v>79</v>
      </c>
      <c r="AI315" s="97" t="s">
        <v>79</v>
      </c>
      <c r="AJ315" s="97" t="s">
        <v>79</v>
      </c>
      <c r="AK315" s="97" t="s">
        <v>79</v>
      </c>
    </row>
    <row r="316" ht="15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  <c r="AD316" s="96"/>
      <c r="AE316" s="96"/>
      <c r="AF316" s="96"/>
      <c r="AG316" s="96"/>
      <c r="AH316" s="97" t="s">
        <v>79</v>
      </c>
      <c r="AI316" s="97" t="s">
        <v>79</v>
      </c>
      <c r="AJ316" s="97" t="s">
        <v>79</v>
      </c>
      <c r="AK316" s="97" t="s">
        <v>79</v>
      </c>
    </row>
    <row r="317" ht="15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  <c r="AE317" s="96"/>
      <c r="AF317" s="96"/>
      <c r="AG317" s="96"/>
      <c r="AH317" s="97" t="s">
        <v>79</v>
      </c>
      <c r="AI317" s="97" t="s">
        <v>79</v>
      </c>
      <c r="AJ317" s="97" t="s">
        <v>79</v>
      </c>
      <c r="AK317" s="97" t="s">
        <v>79</v>
      </c>
    </row>
    <row r="318" ht="15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  <c r="AE318" s="96"/>
      <c r="AF318" s="96"/>
      <c r="AG318" s="96"/>
      <c r="AH318" s="97" t="s">
        <v>79</v>
      </c>
      <c r="AI318" s="97" t="s">
        <v>79</v>
      </c>
      <c r="AJ318" s="97" t="s">
        <v>79</v>
      </c>
      <c r="AK318" s="97" t="s">
        <v>79</v>
      </c>
    </row>
    <row r="319" ht="15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  <c r="AG319" s="96"/>
      <c r="AH319" s="97" t="s">
        <v>79</v>
      </c>
      <c r="AI319" s="97" t="s">
        <v>79</v>
      </c>
      <c r="AJ319" s="97" t="s">
        <v>79</v>
      </c>
      <c r="AK319" s="97" t="s">
        <v>79</v>
      </c>
    </row>
    <row r="320" ht="15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  <c r="AE320" s="96"/>
      <c r="AF320" s="96"/>
      <c r="AG320" s="96"/>
      <c r="AH320" s="97" t="s">
        <v>79</v>
      </c>
      <c r="AI320" s="97" t="s">
        <v>79</v>
      </c>
      <c r="AJ320" s="97" t="s">
        <v>79</v>
      </c>
      <c r="AK320" s="97" t="s">
        <v>79</v>
      </c>
    </row>
    <row r="321" ht="15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  <c r="AG321" s="96"/>
      <c r="AH321" s="97" t="s">
        <v>79</v>
      </c>
      <c r="AI321" s="97" t="s">
        <v>79</v>
      </c>
      <c r="AJ321" s="97" t="s">
        <v>79</v>
      </c>
      <c r="AK321" s="97" t="s">
        <v>79</v>
      </c>
    </row>
    <row r="322" ht="15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  <c r="AE322" s="96"/>
      <c r="AF322" s="96"/>
      <c r="AG322" s="96"/>
      <c r="AH322" s="97" t="s">
        <v>79</v>
      </c>
      <c r="AI322" s="97" t="s">
        <v>79</v>
      </c>
      <c r="AJ322" s="97" t="s">
        <v>79</v>
      </c>
      <c r="AK322" s="97" t="s">
        <v>79</v>
      </c>
    </row>
    <row r="323" ht="15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  <c r="AG323" s="96"/>
      <c r="AH323" s="97" t="s">
        <v>79</v>
      </c>
      <c r="AI323" s="97" t="s">
        <v>79</v>
      </c>
      <c r="AJ323" s="97" t="s">
        <v>79</v>
      </c>
      <c r="AK323" s="97" t="s">
        <v>79</v>
      </c>
    </row>
    <row r="324" ht="15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  <c r="AD324" s="96"/>
      <c r="AE324" s="96"/>
      <c r="AF324" s="96"/>
      <c r="AG324" s="96"/>
      <c r="AH324" s="97" t="s">
        <v>79</v>
      </c>
      <c r="AI324" s="97" t="s">
        <v>79</v>
      </c>
      <c r="AJ324" s="97" t="s">
        <v>79</v>
      </c>
      <c r="AK324" s="97" t="s">
        <v>79</v>
      </c>
    </row>
    <row r="325" ht="15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  <c r="AD325" s="96"/>
      <c r="AE325" s="96"/>
      <c r="AF325" s="96"/>
      <c r="AG325" s="96"/>
      <c r="AH325" s="97" t="s">
        <v>79</v>
      </c>
      <c r="AI325" s="97" t="s">
        <v>79</v>
      </c>
      <c r="AJ325" s="97" t="s">
        <v>79</v>
      </c>
      <c r="AK325" s="97" t="s">
        <v>79</v>
      </c>
    </row>
    <row r="326" ht="15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  <c r="AH326" s="97" t="s">
        <v>79</v>
      </c>
      <c r="AI326" s="97" t="s">
        <v>79</v>
      </c>
      <c r="AJ326" s="97" t="s">
        <v>79</v>
      </c>
      <c r="AK326" s="97" t="s">
        <v>79</v>
      </c>
    </row>
    <row r="327" ht="15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  <c r="AG327" s="96"/>
      <c r="AH327" s="97" t="s">
        <v>79</v>
      </c>
      <c r="AI327" s="97" t="s">
        <v>79</v>
      </c>
      <c r="AJ327" s="97" t="s">
        <v>79</v>
      </c>
      <c r="AK327" s="97" t="s">
        <v>79</v>
      </c>
    </row>
    <row r="328" ht="15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  <c r="AG328" s="96"/>
      <c r="AH328" s="97" t="s">
        <v>79</v>
      </c>
      <c r="AI328" s="97" t="s">
        <v>79</v>
      </c>
      <c r="AJ328" s="97" t="s">
        <v>79</v>
      </c>
      <c r="AK328" s="97" t="s">
        <v>79</v>
      </c>
    </row>
    <row r="329" ht="15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  <c r="AE329" s="96"/>
      <c r="AF329" s="96"/>
      <c r="AG329" s="96"/>
      <c r="AH329" s="97" t="s">
        <v>79</v>
      </c>
      <c r="AI329" s="97" t="s">
        <v>79</v>
      </c>
      <c r="AJ329" s="97" t="s">
        <v>79</v>
      </c>
      <c r="AK329" s="97" t="s">
        <v>79</v>
      </c>
    </row>
    <row r="330" ht="15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  <c r="AE330" s="96"/>
      <c r="AF330" s="96"/>
      <c r="AG330" s="96"/>
      <c r="AH330" s="97" t="s">
        <v>79</v>
      </c>
      <c r="AI330" s="97" t="s">
        <v>79</v>
      </c>
      <c r="AJ330" s="97" t="s">
        <v>79</v>
      </c>
      <c r="AK330" s="97" t="s">
        <v>79</v>
      </c>
    </row>
    <row r="331" ht="15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  <c r="AD331" s="96"/>
      <c r="AE331" s="96"/>
      <c r="AF331" s="96"/>
      <c r="AG331" s="96"/>
      <c r="AH331" s="97" t="s">
        <v>79</v>
      </c>
      <c r="AI331" s="97" t="s">
        <v>79</v>
      </c>
      <c r="AJ331" s="97" t="s">
        <v>79</v>
      </c>
      <c r="AK331" s="97" t="s">
        <v>79</v>
      </c>
    </row>
    <row r="332" ht="15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  <c r="AD332" s="96"/>
      <c r="AE332" s="96"/>
      <c r="AF332" s="96"/>
      <c r="AG332" s="96"/>
      <c r="AH332" s="97" t="s">
        <v>79</v>
      </c>
      <c r="AI332" s="97" t="s">
        <v>79</v>
      </c>
      <c r="AJ332" s="97" t="s">
        <v>79</v>
      </c>
      <c r="AK332" s="97" t="s">
        <v>79</v>
      </c>
    </row>
    <row r="333" ht="15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  <c r="AD333" s="96"/>
      <c r="AE333" s="96"/>
      <c r="AF333" s="96"/>
      <c r="AG333" s="96"/>
      <c r="AH333" s="97" t="s">
        <v>79</v>
      </c>
      <c r="AI333" s="97" t="s">
        <v>79</v>
      </c>
      <c r="AJ333" s="97" t="s">
        <v>79</v>
      </c>
      <c r="AK333" s="97" t="s">
        <v>79</v>
      </c>
    </row>
    <row r="334" ht="15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  <c r="AD334" s="96"/>
      <c r="AE334" s="96"/>
      <c r="AF334" s="96"/>
      <c r="AG334" s="96"/>
      <c r="AH334" s="97" t="s">
        <v>79</v>
      </c>
      <c r="AI334" s="97" t="s">
        <v>79</v>
      </c>
      <c r="AJ334" s="97" t="s">
        <v>79</v>
      </c>
      <c r="AK334" s="97" t="s">
        <v>79</v>
      </c>
    </row>
    <row r="335" ht="15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  <c r="AE335" s="96"/>
      <c r="AF335" s="96"/>
      <c r="AG335" s="96"/>
      <c r="AH335" s="97" t="s">
        <v>79</v>
      </c>
      <c r="AI335" s="97" t="s">
        <v>79</v>
      </c>
      <c r="AJ335" s="97" t="s">
        <v>79</v>
      </c>
      <c r="AK335" s="97" t="s">
        <v>79</v>
      </c>
    </row>
    <row r="336" ht="15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  <c r="AD336" s="96"/>
      <c r="AE336" s="96"/>
      <c r="AF336" s="96"/>
      <c r="AG336" s="96"/>
      <c r="AH336" s="97" t="s">
        <v>79</v>
      </c>
      <c r="AI336" s="97" t="s">
        <v>79</v>
      </c>
      <c r="AJ336" s="97" t="s">
        <v>79</v>
      </c>
      <c r="AK336" s="97" t="s">
        <v>79</v>
      </c>
    </row>
    <row r="337" ht="15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  <c r="AE337" s="96"/>
      <c r="AF337" s="96"/>
      <c r="AG337" s="96"/>
      <c r="AH337" s="97" t="s">
        <v>79</v>
      </c>
      <c r="AI337" s="97" t="s">
        <v>79</v>
      </c>
      <c r="AJ337" s="97" t="s">
        <v>79</v>
      </c>
      <c r="AK337" s="97" t="s">
        <v>79</v>
      </c>
    </row>
    <row r="338" ht="15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  <c r="AD338" s="96"/>
      <c r="AE338" s="96"/>
      <c r="AF338" s="96"/>
      <c r="AG338" s="96"/>
      <c r="AH338" s="97" t="s">
        <v>79</v>
      </c>
      <c r="AI338" s="97" t="s">
        <v>79</v>
      </c>
      <c r="AJ338" s="97" t="s">
        <v>79</v>
      </c>
      <c r="AK338" s="97" t="s">
        <v>79</v>
      </c>
    </row>
    <row r="339" ht="15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  <c r="AD339" s="96"/>
      <c r="AE339" s="96"/>
      <c r="AF339" s="96"/>
      <c r="AG339" s="96"/>
      <c r="AH339" s="97" t="s">
        <v>79</v>
      </c>
      <c r="AI339" s="97" t="s">
        <v>79</v>
      </c>
      <c r="AJ339" s="97" t="s">
        <v>79</v>
      </c>
      <c r="AK339" s="97" t="s">
        <v>79</v>
      </c>
    </row>
    <row r="340" ht="15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  <c r="AE340" s="96"/>
      <c r="AF340" s="96"/>
      <c r="AG340" s="96"/>
      <c r="AH340" s="97" t="s">
        <v>79</v>
      </c>
      <c r="AI340" s="97" t="s">
        <v>79</v>
      </c>
      <c r="AJ340" s="97" t="s">
        <v>79</v>
      </c>
      <c r="AK340" s="97" t="s">
        <v>79</v>
      </c>
    </row>
    <row r="341" ht="15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  <c r="AG341" s="96"/>
      <c r="AH341" s="97" t="s">
        <v>79</v>
      </c>
      <c r="AI341" s="97" t="s">
        <v>79</v>
      </c>
      <c r="AJ341" s="97" t="s">
        <v>79</v>
      </c>
      <c r="AK341" s="97" t="s">
        <v>79</v>
      </c>
    </row>
    <row r="342" ht="15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  <c r="AE342" s="96"/>
      <c r="AF342" s="96"/>
      <c r="AG342" s="96"/>
      <c r="AH342" s="97" t="s">
        <v>79</v>
      </c>
      <c r="AI342" s="97" t="s">
        <v>79</v>
      </c>
      <c r="AJ342" s="97" t="s">
        <v>79</v>
      </c>
      <c r="AK342" s="97" t="s">
        <v>79</v>
      </c>
    </row>
    <row r="343" ht="15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  <c r="AD343" s="96"/>
      <c r="AE343" s="96"/>
      <c r="AF343" s="96"/>
      <c r="AG343" s="96"/>
      <c r="AH343" s="97" t="s">
        <v>79</v>
      </c>
      <c r="AI343" s="97" t="s">
        <v>79</v>
      </c>
      <c r="AJ343" s="97" t="s">
        <v>79</v>
      </c>
      <c r="AK343" s="97" t="s">
        <v>79</v>
      </c>
    </row>
    <row r="344" ht="15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  <c r="AD344" s="96"/>
      <c r="AE344" s="96"/>
      <c r="AF344" s="96"/>
      <c r="AG344" s="96"/>
      <c r="AH344" s="97" t="s">
        <v>79</v>
      </c>
      <c r="AI344" s="97" t="s">
        <v>79</v>
      </c>
      <c r="AJ344" s="97" t="s">
        <v>79</v>
      </c>
      <c r="AK344" s="97" t="s">
        <v>79</v>
      </c>
    </row>
    <row r="345" ht="15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  <c r="AE345" s="96"/>
      <c r="AF345" s="96"/>
      <c r="AG345" s="96"/>
      <c r="AH345" s="97" t="s">
        <v>79</v>
      </c>
      <c r="AI345" s="97" t="s">
        <v>79</v>
      </c>
      <c r="AJ345" s="97" t="s">
        <v>79</v>
      </c>
      <c r="AK345" s="97" t="s">
        <v>79</v>
      </c>
    </row>
    <row r="346" ht="15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  <c r="AE346" s="96"/>
      <c r="AF346" s="96"/>
      <c r="AG346" s="96"/>
      <c r="AH346" s="97" t="s">
        <v>79</v>
      </c>
      <c r="AI346" s="97" t="s">
        <v>79</v>
      </c>
      <c r="AJ346" s="97" t="s">
        <v>79</v>
      </c>
      <c r="AK346" s="97" t="s">
        <v>79</v>
      </c>
    </row>
    <row r="347" ht="15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  <c r="AD347" s="96"/>
      <c r="AE347" s="96"/>
      <c r="AF347" s="96"/>
      <c r="AG347" s="96"/>
      <c r="AH347" s="97" t="s">
        <v>79</v>
      </c>
      <c r="AI347" s="97" t="s">
        <v>79</v>
      </c>
      <c r="AJ347" s="97" t="s">
        <v>79</v>
      </c>
      <c r="AK347" s="97" t="s">
        <v>79</v>
      </c>
    </row>
    <row r="348" ht="15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  <c r="AD348" s="96"/>
      <c r="AE348" s="96"/>
      <c r="AF348" s="96"/>
      <c r="AG348" s="96"/>
      <c r="AH348" s="97" t="s">
        <v>79</v>
      </c>
      <c r="AI348" s="97" t="s">
        <v>79</v>
      </c>
      <c r="AJ348" s="97" t="s">
        <v>79</v>
      </c>
      <c r="AK348" s="97" t="s">
        <v>79</v>
      </c>
    </row>
    <row r="349" ht="15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  <c r="AD349" s="96"/>
      <c r="AE349" s="96"/>
      <c r="AF349" s="96"/>
      <c r="AG349" s="96"/>
      <c r="AH349" s="97" t="s">
        <v>79</v>
      </c>
      <c r="AI349" s="97" t="s">
        <v>79</v>
      </c>
      <c r="AJ349" s="97" t="s">
        <v>79</v>
      </c>
      <c r="AK349" s="97" t="s">
        <v>79</v>
      </c>
    </row>
    <row r="350" ht="15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  <c r="AD350" s="96"/>
      <c r="AE350" s="96"/>
      <c r="AF350" s="96"/>
      <c r="AG350" s="96"/>
      <c r="AH350" s="97" t="s">
        <v>79</v>
      </c>
      <c r="AI350" s="97" t="s">
        <v>79</v>
      </c>
      <c r="AJ350" s="97" t="s">
        <v>79</v>
      </c>
      <c r="AK350" s="97" t="s">
        <v>79</v>
      </c>
    </row>
    <row r="351" ht="15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  <c r="AD351" s="96"/>
      <c r="AE351" s="96"/>
      <c r="AF351" s="96"/>
      <c r="AG351" s="96"/>
      <c r="AH351" s="97" t="s">
        <v>79</v>
      </c>
      <c r="AI351" s="97" t="s">
        <v>79</v>
      </c>
      <c r="AJ351" s="97" t="s">
        <v>79</v>
      </c>
      <c r="AK351" s="97" t="s">
        <v>79</v>
      </c>
    </row>
    <row r="352" ht="15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  <c r="AD352" s="96"/>
      <c r="AE352" s="96"/>
      <c r="AF352" s="96"/>
      <c r="AG352" s="96"/>
      <c r="AH352" s="97" t="s">
        <v>79</v>
      </c>
      <c r="AI352" s="97" t="s">
        <v>79</v>
      </c>
      <c r="AJ352" s="97" t="s">
        <v>79</v>
      </c>
      <c r="AK352" s="97" t="s">
        <v>79</v>
      </c>
    </row>
    <row r="353" ht="15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  <c r="AD353" s="96"/>
      <c r="AE353" s="96"/>
      <c r="AF353" s="96"/>
      <c r="AG353" s="96"/>
      <c r="AH353" s="97" t="s">
        <v>79</v>
      </c>
      <c r="AI353" s="97" t="s">
        <v>79</v>
      </c>
      <c r="AJ353" s="97" t="s">
        <v>79</v>
      </c>
      <c r="AK353" s="97" t="s">
        <v>79</v>
      </c>
    </row>
    <row r="354" ht="15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  <c r="AD354" s="96"/>
      <c r="AE354" s="96"/>
      <c r="AF354" s="96"/>
      <c r="AG354" s="96"/>
      <c r="AH354" s="97" t="s">
        <v>79</v>
      </c>
      <c r="AI354" s="97" t="s">
        <v>79</v>
      </c>
      <c r="AJ354" s="97" t="s">
        <v>79</v>
      </c>
      <c r="AK354" s="97" t="s">
        <v>79</v>
      </c>
    </row>
    <row r="355" ht="15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  <c r="AD355" s="96"/>
      <c r="AE355" s="96"/>
      <c r="AF355" s="96"/>
      <c r="AG355" s="96"/>
      <c r="AH355" s="97" t="s">
        <v>79</v>
      </c>
      <c r="AI355" s="97" t="s">
        <v>79</v>
      </c>
      <c r="AJ355" s="97" t="s">
        <v>79</v>
      </c>
      <c r="AK355" s="97" t="s">
        <v>79</v>
      </c>
    </row>
    <row r="356" ht="15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  <c r="AD356" s="96"/>
      <c r="AE356" s="96"/>
      <c r="AF356" s="96"/>
      <c r="AG356" s="96"/>
      <c r="AH356" s="97" t="s">
        <v>79</v>
      </c>
      <c r="AI356" s="97" t="s">
        <v>79</v>
      </c>
      <c r="AJ356" s="97" t="s">
        <v>79</v>
      </c>
      <c r="AK356" s="97" t="s">
        <v>79</v>
      </c>
    </row>
    <row r="357" ht="15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  <c r="AD357" s="96"/>
      <c r="AE357" s="96"/>
      <c r="AF357" s="96"/>
      <c r="AG357" s="96"/>
      <c r="AH357" s="97" t="s">
        <v>79</v>
      </c>
      <c r="AI357" s="97" t="s">
        <v>79</v>
      </c>
      <c r="AJ357" s="97" t="s">
        <v>79</v>
      </c>
      <c r="AK357" s="97" t="s">
        <v>79</v>
      </c>
    </row>
    <row r="358" ht="15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  <c r="AE358" s="96"/>
      <c r="AF358" s="96"/>
      <c r="AG358" s="96"/>
      <c r="AH358" s="97" t="s">
        <v>79</v>
      </c>
      <c r="AI358" s="97" t="s">
        <v>79</v>
      </c>
      <c r="AJ358" s="97" t="s">
        <v>79</v>
      </c>
      <c r="AK358" s="97" t="s">
        <v>79</v>
      </c>
    </row>
    <row r="359" ht="15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  <c r="AD359" s="96"/>
      <c r="AE359" s="96"/>
      <c r="AF359" s="96"/>
      <c r="AG359" s="96"/>
      <c r="AH359" s="97" t="s">
        <v>79</v>
      </c>
      <c r="AI359" s="97" t="s">
        <v>79</v>
      </c>
      <c r="AJ359" s="97" t="s">
        <v>79</v>
      </c>
      <c r="AK359" s="97" t="s">
        <v>79</v>
      </c>
    </row>
    <row r="360" ht="15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  <c r="AD360" s="96"/>
      <c r="AE360" s="96"/>
      <c r="AF360" s="96"/>
      <c r="AG360" s="96"/>
      <c r="AH360" s="97" t="s">
        <v>79</v>
      </c>
      <c r="AI360" s="97" t="s">
        <v>79</v>
      </c>
      <c r="AJ360" s="97" t="s">
        <v>79</v>
      </c>
      <c r="AK360" s="97" t="s">
        <v>79</v>
      </c>
    </row>
    <row r="361" ht="15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  <c r="AD361" s="96"/>
      <c r="AE361" s="96"/>
      <c r="AF361" s="96"/>
      <c r="AG361" s="96"/>
      <c r="AH361" s="97" t="s">
        <v>79</v>
      </c>
      <c r="AI361" s="97" t="s">
        <v>79</v>
      </c>
      <c r="AJ361" s="97" t="s">
        <v>79</v>
      </c>
      <c r="AK361" s="97" t="s">
        <v>79</v>
      </c>
    </row>
    <row r="362" ht="15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  <c r="AE362" s="96"/>
      <c r="AF362" s="96"/>
      <c r="AG362" s="96"/>
      <c r="AH362" s="97" t="s">
        <v>79</v>
      </c>
      <c r="AI362" s="97" t="s">
        <v>79</v>
      </c>
      <c r="AJ362" s="97" t="s">
        <v>79</v>
      </c>
      <c r="AK362" s="97" t="s">
        <v>79</v>
      </c>
    </row>
    <row r="363" ht="15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  <c r="AE363" s="96"/>
      <c r="AF363" s="96"/>
      <c r="AG363" s="96"/>
      <c r="AH363" s="97" t="s">
        <v>79</v>
      </c>
      <c r="AI363" s="97" t="s">
        <v>79</v>
      </c>
      <c r="AJ363" s="97" t="s">
        <v>79</v>
      </c>
      <c r="AK363" s="97" t="s">
        <v>79</v>
      </c>
    </row>
    <row r="364" ht="15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  <c r="AD364" s="96"/>
      <c r="AE364" s="96"/>
      <c r="AF364" s="96"/>
      <c r="AG364" s="96"/>
      <c r="AH364" s="97" t="s">
        <v>79</v>
      </c>
      <c r="AI364" s="97" t="s">
        <v>79</v>
      </c>
      <c r="AJ364" s="97" t="s">
        <v>79</v>
      </c>
      <c r="AK364" s="97" t="s">
        <v>79</v>
      </c>
    </row>
    <row r="365" ht="15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  <c r="AD365" s="96"/>
      <c r="AE365" s="96"/>
      <c r="AF365" s="96"/>
      <c r="AG365" s="96"/>
      <c r="AH365" s="97" t="s">
        <v>79</v>
      </c>
      <c r="AI365" s="97" t="s">
        <v>79</v>
      </c>
      <c r="AJ365" s="97" t="s">
        <v>79</v>
      </c>
      <c r="AK365" s="97" t="s">
        <v>79</v>
      </c>
    </row>
    <row r="366" ht="15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  <c r="AD366" s="96"/>
      <c r="AE366" s="96"/>
      <c r="AF366" s="96"/>
      <c r="AG366" s="96"/>
      <c r="AH366" s="97" t="s">
        <v>79</v>
      </c>
      <c r="AI366" s="97" t="s">
        <v>79</v>
      </c>
      <c r="AJ366" s="97" t="s">
        <v>79</v>
      </c>
      <c r="AK366" s="97" t="s">
        <v>79</v>
      </c>
    </row>
    <row r="367" ht="15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  <c r="AE367" s="96"/>
      <c r="AF367" s="96"/>
      <c r="AG367" s="96"/>
      <c r="AH367" s="97" t="s">
        <v>79</v>
      </c>
      <c r="AI367" s="97" t="s">
        <v>79</v>
      </c>
      <c r="AJ367" s="97" t="s">
        <v>79</v>
      </c>
      <c r="AK367" s="97" t="s">
        <v>79</v>
      </c>
    </row>
    <row r="368" ht="15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  <c r="AE368" s="96"/>
      <c r="AF368" s="96"/>
      <c r="AG368" s="96"/>
      <c r="AH368" s="97" t="s">
        <v>79</v>
      </c>
      <c r="AI368" s="97" t="s">
        <v>79</v>
      </c>
      <c r="AJ368" s="97" t="s">
        <v>79</v>
      </c>
      <c r="AK368" s="97" t="s">
        <v>79</v>
      </c>
    </row>
    <row r="369" ht="15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  <c r="AE369" s="96"/>
      <c r="AF369" s="96"/>
      <c r="AG369" s="96"/>
      <c r="AH369" s="97" t="s">
        <v>79</v>
      </c>
      <c r="AI369" s="97" t="s">
        <v>79</v>
      </c>
      <c r="AJ369" s="97" t="s">
        <v>79</v>
      </c>
      <c r="AK369" s="97" t="s">
        <v>79</v>
      </c>
    </row>
    <row r="370" ht="15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  <c r="AE370" s="96"/>
      <c r="AF370" s="96"/>
      <c r="AG370" s="96"/>
      <c r="AH370" s="97" t="s">
        <v>79</v>
      </c>
      <c r="AI370" s="97" t="s">
        <v>79</v>
      </c>
      <c r="AJ370" s="97" t="s">
        <v>79</v>
      </c>
      <c r="AK370" s="97" t="s">
        <v>79</v>
      </c>
    </row>
    <row r="371" ht="15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  <c r="AE371" s="96"/>
      <c r="AF371" s="96"/>
      <c r="AG371" s="96"/>
      <c r="AH371" s="97" t="s">
        <v>79</v>
      </c>
      <c r="AI371" s="97" t="s">
        <v>79</v>
      </c>
      <c r="AJ371" s="97" t="s">
        <v>79</v>
      </c>
      <c r="AK371" s="97" t="s">
        <v>79</v>
      </c>
    </row>
    <row r="372" ht="15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  <c r="AE372" s="96"/>
      <c r="AF372" s="96"/>
      <c r="AG372" s="96"/>
      <c r="AH372" s="97" t="s">
        <v>79</v>
      </c>
      <c r="AI372" s="97" t="s">
        <v>79</v>
      </c>
      <c r="AJ372" s="97" t="s">
        <v>79</v>
      </c>
      <c r="AK372" s="97" t="s">
        <v>79</v>
      </c>
    </row>
    <row r="373" ht="15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  <c r="AE373" s="96"/>
      <c r="AF373" s="96"/>
      <c r="AG373" s="96"/>
      <c r="AH373" s="97" t="s">
        <v>79</v>
      </c>
      <c r="AI373" s="97" t="s">
        <v>79</v>
      </c>
      <c r="AJ373" s="97" t="s">
        <v>79</v>
      </c>
      <c r="AK373" s="97" t="s">
        <v>79</v>
      </c>
    </row>
    <row r="374" ht="15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  <c r="AD374" s="96"/>
      <c r="AE374" s="96"/>
      <c r="AF374" s="96"/>
      <c r="AG374" s="96"/>
      <c r="AH374" s="97" t="s">
        <v>79</v>
      </c>
      <c r="AI374" s="97" t="s">
        <v>79</v>
      </c>
      <c r="AJ374" s="97" t="s">
        <v>79</v>
      </c>
      <c r="AK374" s="97" t="s">
        <v>79</v>
      </c>
    </row>
    <row r="375" ht="15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  <c r="AD375" s="96"/>
      <c r="AE375" s="96"/>
      <c r="AF375" s="96"/>
      <c r="AG375" s="96"/>
      <c r="AH375" s="97" t="s">
        <v>79</v>
      </c>
      <c r="AI375" s="97" t="s">
        <v>79</v>
      </c>
      <c r="AJ375" s="97" t="s">
        <v>79</v>
      </c>
      <c r="AK375" s="97" t="s">
        <v>79</v>
      </c>
    </row>
    <row r="376" ht="15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  <c r="AD376" s="96"/>
      <c r="AE376" s="96"/>
      <c r="AF376" s="96"/>
      <c r="AG376" s="96"/>
      <c r="AH376" s="97" t="s">
        <v>79</v>
      </c>
      <c r="AI376" s="97" t="s">
        <v>79</v>
      </c>
      <c r="AJ376" s="97" t="s">
        <v>79</v>
      </c>
      <c r="AK376" s="97" t="s">
        <v>79</v>
      </c>
    </row>
    <row r="377" ht="15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  <c r="AD377" s="96"/>
      <c r="AE377" s="96"/>
      <c r="AF377" s="96"/>
      <c r="AG377" s="96"/>
      <c r="AH377" s="97" t="s">
        <v>79</v>
      </c>
      <c r="AI377" s="97" t="s">
        <v>79</v>
      </c>
      <c r="AJ377" s="97" t="s">
        <v>79</v>
      </c>
      <c r="AK377" s="97" t="s">
        <v>79</v>
      </c>
    </row>
    <row r="378" ht="15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  <c r="AE378" s="96"/>
      <c r="AF378" s="96"/>
      <c r="AG378" s="96"/>
      <c r="AH378" s="97" t="s">
        <v>79</v>
      </c>
      <c r="AI378" s="97" t="s">
        <v>79</v>
      </c>
      <c r="AJ378" s="97" t="s">
        <v>79</v>
      </c>
      <c r="AK378" s="97" t="s">
        <v>79</v>
      </c>
    </row>
    <row r="379" ht="15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  <c r="AG379" s="96"/>
      <c r="AH379" s="97" t="s">
        <v>79</v>
      </c>
      <c r="AI379" s="97" t="s">
        <v>79</v>
      </c>
      <c r="AJ379" s="97" t="s">
        <v>79</v>
      </c>
      <c r="AK379" s="97" t="s">
        <v>79</v>
      </c>
    </row>
    <row r="380" ht="15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  <c r="AE380" s="96"/>
      <c r="AF380" s="96"/>
      <c r="AG380" s="96"/>
      <c r="AH380" s="97" t="s">
        <v>79</v>
      </c>
      <c r="AI380" s="97" t="s">
        <v>79</v>
      </c>
      <c r="AJ380" s="97" t="s">
        <v>79</v>
      </c>
      <c r="AK380" s="97" t="s">
        <v>79</v>
      </c>
    </row>
    <row r="381" ht="15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  <c r="AD381" s="96"/>
      <c r="AE381" s="96"/>
      <c r="AF381" s="96"/>
      <c r="AG381" s="96"/>
      <c r="AH381" s="97" t="s">
        <v>79</v>
      </c>
      <c r="AI381" s="97" t="s">
        <v>79</v>
      </c>
      <c r="AJ381" s="97" t="s">
        <v>79</v>
      </c>
      <c r="AK381" s="97" t="s">
        <v>79</v>
      </c>
    </row>
    <row r="382" ht="15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  <c r="AD382" s="96"/>
      <c r="AE382" s="96"/>
      <c r="AF382" s="96"/>
      <c r="AG382" s="96"/>
      <c r="AH382" s="97" t="s">
        <v>79</v>
      </c>
      <c r="AI382" s="97" t="s">
        <v>79</v>
      </c>
      <c r="AJ382" s="97" t="s">
        <v>79</v>
      </c>
      <c r="AK382" s="97" t="s">
        <v>79</v>
      </c>
    </row>
    <row r="383" ht="15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  <c r="AD383" s="96"/>
      <c r="AE383" s="96"/>
      <c r="AF383" s="96"/>
      <c r="AG383" s="96"/>
      <c r="AH383" s="97" t="s">
        <v>79</v>
      </c>
      <c r="AI383" s="97" t="s">
        <v>79</v>
      </c>
      <c r="AJ383" s="97" t="s">
        <v>79</v>
      </c>
      <c r="AK383" s="97" t="s">
        <v>79</v>
      </c>
    </row>
    <row r="384" ht="15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  <c r="AD384" s="96"/>
      <c r="AE384" s="96"/>
      <c r="AF384" s="96"/>
      <c r="AG384" s="96"/>
      <c r="AH384" s="97" t="s">
        <v>79</v>
      </c>
      <c r="AI384" s="97" t="s">
        <v>79</v>
      </c>
      <c r="AJ384" s="97" t="s">
        <v>79</v>
      </c>
      <c r="AK384" s="97" t="s">
        <v>79</v>
      </c>
    </row>
    <row r="385" ht="15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  <c r="AD385" s="96"/>
      <c r="AE385" s="96"/>
      <c r="AF385" s="96"/>
      <c r="AG385" s="96"/>
      <c r="AH385" s="97" t="s">
        <v>79</v>
      </c>
      <c r="AI385" s="97" t="s">
        <v>79</v>
      </c>
      <c r="AJ385" s="97" t="s">
        <v>79</v>
      </c>
      <c r="AK385" s="97" t="s">
        <v>79</v>
      </c>
    </row>
    <row r="386" ht="15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  <c r="AD386" s="96"/>
      <c r="AE386" s="96"/>
      <c r="AF386" s="96"/>
      <c r="AG386" s="96"/>
      <c r="AH386" s="97" t="s">
        <v>79</v>
      </c>
      <c r="AI386" s="97" t="s">
        <v>79</v>
      </c>
      <c r="AJ386" s="97" t="s">
        <v>79</v>
      </c>
      <c r="AK386" s="97" t="s">
        <v>79</v>
      </c>
    </row>
    <row r="387" ht="15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  <c r="AD387" s="96"/>
      <c r="AE387" s="96"/>
      <c r="AF387" s="96"/>
      <c r="AG387" s="96"/>
      <c r="AH387" s="97" t="s">
        <v>79</v>
      </c>
      <c r="AI387" s="97" t="s">
        <v>79</v>
      </c>
      <c r="AJ387" s="97" t="s">
        <v>79</v>
      </c>
      <c r="AK387" s="97" t="s">
        <v>79</v>
      </c>
    </row>
    <row r="388" ht="15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  <c r="AD388" s="96"/>
      <c r="AE388" s="96"/>
      <c r="AF388" s="96"/>
      <c r="AG388" s="96"/>
      <c r="AH388" s="97" t="s">
        <v>79</v>
      </c>
      <c r="AI388" s="97" t="s">
        <v>79</v>
      </c>
      <c r="AJ388" s="97" t="s">
        <v>79</v>
      </c>
      <c r="AK388" s="97" t="s">
        <v>79</v>
      </c>
    </row>
    <row r="389" ht="15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  <c r="AD389" s="96"/>
      <c r="AE389" s="96"/>
      <c r="AF389" s="96"/>
      <c r="AG389" s="96"/>
      <c r="AH389" s="97" t="s">
        <v>79</v>
      </c>
      <c r="AI389" s="97" t="s">
        <v>79</v>
      </c>
      <c r="AJ389" s="97" t="s">
        <v>79</v>
      </c>
      <c r="AK389" s="97" t="s">
        <v>79</v>
      </c>
    </row>
    <row r="390" ht="15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  <c r="AE390" s="96"/>
      <c r="AF390" s="96"/>
      <c r="AG390" s="96"/>
      <c r="AH390" s="97" t="s">
        <v>79</v>
      </c>
      <c r="AI390" s="97" t="s">
        <v>79</v>
      </c>
      <c r="AJ390" s="97" t="s">
        <v>79</v>
      </c>
      <c r="AK390" s="97" t="s">
        <v>79</v>
      </c>
    </row>
    <row r="391" ht="15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  <c r="AE391" s="96"/>
      <c r="AF391" s="96"/>
      <c r="AG391" s="96"/>
      <c r="AH391" s="97" t="s">
        <v>79</v>
      </c>
      <c r="AI391" s="97" t="s">
        <v>79</v>
      </c>
      <c r="AJ391" s="97" t="s">
        <v>79</v>
      </c>
      <c r="AK391" s="97" t="s">
        <v>79</v>
      </c>
    </row>
    <row r="392" ht="15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  <c r="AD392" s="96"/>
      <c r="AE392" s="96"/>
      <c r="AF392" s="96"/>
      <c r="AG392" s="96"/>
      <c r="AH392" s="97" t="s">
        <v>79</v>
      </c>
      <c r="AI392" s="97" t="s">
        <v>79</v>
      </c>
      <c r="AJ392" s="97" t="s">
        <v>79</v>
      </c>
      <c r="AK392" s="97" t="s">
        <v>79</v>
      </c>
    </row>
    <row r="393" ht="15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  <c r="AD393" s="96"/>
      <c r="AE393" s="96"/>
      <c r="AF393" s="96"/>
      <c r="AG393" s="96"/>
      <c r="AH393" s="97" t="s">
        <v>79</v>
      </c>
      <c r="AI393" s="97" t="s">
        <v>79</v>
      </c>
      <c r="AJ393" s="97" t="s">
        <v>79</v>
      </c>
      <c r="AK393" s="97" t="s">
        <v>79</v>
      </c>
    </row>
    <row r="394" ht="15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  <c r="AD394" s="96"/>
      <c r="AE394" s="96"/>
      <c r="AF394" s="96"/>
      <c r="AG394" s="96"/>
      <c r="AH394" s="97" t="s">
        <v>79</v>
      </c>
      <c r="AI394" s="97" t="s">
        <v>79</v>
      </c>
      <c r="AJ394" s="97" t="s">
        <v>79</v>
      </c>
      <c r="AK394" s="97" t="s">
        <v>79</v>
      </c>
    </row>
    <row r="395" ht="15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  <c r="AD395" s="96"/>
      <c r="AE395" s="96"/>
      <c r="AF395" s="96"/>
      <c r="AG395" s="96"/>
      <c r="AH395" s="97" t="s">
        <v>79</v>
      </c>
      <c r="AI395" s="97" t="s">
        <v>79</v>
      </c>
      <c r="AJ395" s="97" t="s">
        <v>79</v>
      </c>
      <c r="AK395" s="97" t="s">
        <v>79</v>
      </c>
    </row>
    <row r="396" ht="15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  <c r="AD396" s="96"/>
      <c r="AE396" s="96"/>
      <c r="AF396" s="96"/>
      <c r="AG396" s="96"/>
      <c r="AH396" s="97" t="s">
        <v>79</v>
      </c>
      <c r="AI396" s="97" t="s">
        <v>79</v>
      </c>
      <c r="AJ396" s="97" t="s">
        <v>79</v>
      </c>
      <c r="AK396" s="97" t="s">
        <v>79</v>
      </c>
    </row>
    <row r="397" ht="15.75" customHeight="1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  <c r="AD397" s="96"/>
      <c r="AE397" s="96"/>
      <c r="AF397" s="96"/>
      <c r="AG397" s="96"/>
      <c r="AH397" s="97" t="s">
        <v>79</v>
      </c>
      <c r="AI397" s="97" t="s">
        <v>79</v>
      </c>
      <c r="AJ397" s="97" t="s">
        <v>79</v>
      </c>
      <c r="AK397" s="97" t="s">
        <v>79</v>
      </c>
    </row>
    <row r="398" ht="15.75" customHeight="1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  <c r="AE398" s="96"/>
      <c r="AF398" s="96"/>
      <c r="AG398" s="96"/>
      <c r="AH398" s="97" t="s">
        <v>79</v>
      </c>
      <c r="AI398" s="97" t="s">
        <v>79</v>
      </c>
      <c r="AJ398" s="97" t="s">
        <v>79</v>
      </c>
      <c r="AK398" s="97" t="s">
        <v>79</v>
      </c>
    </row>
    <row r="399" ht="15.75" customHeight="1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  <c r="AD399" s="96"/>
      <c r="AE399" s="96"/>
      <c r="AF399" s="96"/>
      <c r="AG399" s="96"/>
      <c r="AH399" s="97" t="s">
        <v>79</v>
      </c>
      <c r="AI399" s="97" t="s">
        <v>79</v>
      </c>
      <c r="AJ399" s="97" t="s">
        <v>79</v>
      </c>
      <c r="AK399" s="97" t="s">
        <v>79</v>
      </c>
    </row>
    <row r="400" ht="15.75" customHeight="1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  <c r="AD400" s="96"/>
      <c r="AE400" s="96"/>
      <c r="AF400" s="96"/>
      <c r="AG400" s="96"/>
      <c r="AH400" s="97" t="s">
        <v>79</v>
      </c>
      <c r="AI400" s="97" t="s">
        <v>79</v>
      </c>
      <c r="AJ400" s="97" t="s">
        <v>79</v>
      </c>
      <c r="AK400" s="97" t="s">
        <v>79</v>
      </c>
    </row>
    <row r="401" ht="15.75" customHeight="1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  <c r="AE401" s="96"/>
      <c r="AF401" s="96"/>
      <c r="AG401" s="96"/>
      <c r="AH401" s="97" t="s">
        <v>79</v>
      </c>
      <c r="AI401" s="97" t="s">
        <v>79</v>
      </c>
      <c r="AJ401" s="97" t="s">
        <v>79</v>
      </c>
      <c r="AK401" s="97" t="s">
        <v>79</v>
      </c>
    </row>
    <row r="402" ht="15.75" customHeight="1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  <c r="AD402" s="96"/>
      <c r="AE402" s="96"/>
      <c r="AF402" s="96"/>
      <c r="AG402" s="96"/>
      <c r="AH402" s="97" t="s">
        <v>79</v>
      </c>
      <c r="AI402" s="97" t="s">
        <v>79</v>
      </c>
      <c r="AJ402" s="97" t="s">
        <v>79</v>
      </c>
      <c r="AK402" s="97" t="s">
        <v>79</v>
      </c>
    </row>
    <row r="403" ht="15.75" customHeight="1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  <c r="AD403" s="96"/>
      <c r="AE403" s="96"/>
      <c r="AF403" s="96"/>
      <c r="AG403" s="96"/>
      <c r="AH403" s="97" t="s">
        <v>79</v>
      </c>
      <c r="AI403" s="97" t="s">
        <v>79</v>
      </c>
      <c r="AJ403" s="97" t="s">
        <v>79</v>
      </c>
      <c r="AK403" s="97" t="s">
        <v>79</v>
      </c>
    </row>
    <row r="404" ht="15.75" customHeight="1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  <c r="AD404" s="96"/>
      <c r="AE404" s="96"/>
      <c r="AF404" s="96"/>
      <c r="AG404" s="96"/>
      <c r="AH404" s="97" t="s">
        <v>79</v>
      </c>
      <c r="AI404" s="97" t="s">
        <v>79</v>
      </c>
      <c r="AJ404" s="97" t="s">
        <v>79</v>
      </c>
      <c r="AK404" s="97" t="s">
        <v>79</v>
      </c>
    </row>
    <row r="405" ht="15.75" customHeight="1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  <c r="AD405" s="96"/>
      <c r="AE405" s="96"/>
      <c r="AF405" s="96"/>
      <c r="AG405" s="96"/>
      <c r="AH405" s="97" t="s">
        <v>79</v>
      </c>
      <c r="AI405" s="97" t="s">
        <v>79</v>
      </c>
      <c r="AJ405" s="97" t="s">
        <v>79</v>
      </c>
      <c r="AK405" s="97" t="s">
        <v>79</v>
      </c>
    </row>
    <row r="406" ht="15.75" customHeight="1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  <c r="AD406" s="96"/>
      <c r="AE406" s="96"/>
      <c r="AF406" s="96"/>
      <c r="AG406" s="96"/>
      <c r="AH406" s="97" t="s">
        <v>79</v>
      </c>
      <c r="AI406" s="97" t="s">
        <v>79</v>
      </c>
      <c r="AJ406" s="97" t="s">
        <v>79</v>
      </c>
      <c r="AK406" s="97" t="s">
        <v>79</v>
      </c>
    </row>
    <row r="407" ht="15.75" customHeight="1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  <c r="AD407" s="96"/>
      <c r="AE407" s="96"/>
      <c r="AF407" s="96"/>
      <c r="AG407" s="96"/>
      <c r="AH407" s="97" t="s">
        <v>79</v>
      </c>
      <c r="AI407" s="97" t="s">
        <v>79</v>
      </c>
      <c r="AJ407" s="97" t="s">
        <v>79</v>
      </c>
      <c r="AK407" s="97" t="s">
        <v>79</v>
      </c>
    </row>
    <row r="408" ht="15.75" customHeight="1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  <c r="AD408" s="96"/>
      <c r="AE408" s="96"/>
      <c r="AF408" s="96"/>
      <c r="AG408" s="96"/>
      <c r="AH408" s="97" t="s">
        <v>79</v>
      </c>
      <c r="AI408" s="97" t="s">
        <v>79</v>
      </c>
      <c r="AJ408" s="97" t="s">
        <v>79</v>
      </c>
      <c r="AK408" s="97" t="s">
        <v>79</v>
      </c>
    </row>
    <row r="409" ht="15.75" customHeight="1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  <c r="AD409" s="96"/>
      <c r="AE409" s="96"/>
      <c r="AF409" s="96"/>
      <c r="AG409" s="96"/>
      <c r="AH409" s="97" t="s">
        <v>79</v>
      </c>
      <c r="AI409" s="97" t="s">
        <v>79</v>
      </c>
      <c r="AJ409" s="97" t="s">
        <v>79</v>
      </c>
      <c r="AK409" s="97" t="s">
        <v>79</v>
      </c>
    </row>
    <row r="410" ht="15.75" customHeight="1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  <c r="AD410" s="96"/>
      <c r="AE410" s="96"/>
      <c r="AF410" s="96"/>
      <c r="AG410" s="96"/>
      <c r="AH410" s="97" t="s">
        <v>79</v>
      </c>
      <c r="AI410" s="97" t="s">
        <v>79</v>
      </c>
      <c r="AJ410" s="97" t="s">
        <v>79</v>
      </c>
      <c r="AK410" s="97" t="s">
        <v>79</v>
      </c>
    </row>
    <row r="411" ht="15.75" customHeight="1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  <c r="AH411" s="97" t="s">
        <v>79</v>
      </c>
      <c r="AI411" s="97" t="s">
        <v>79</v>
      </c>
      <c r="AJ411" s="97" t="s">
        <v>79</v>
      </c>
      <c r="AK411" s="97" t="s">
        <v>79</v>
      </c>
    </row>
    <row r="412" ht="15.75" customHeight="1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  <c r="AD412" s="96"/>
      <c r="AE412" s="96"/>
      <c r="AF412" s="96"/>
      <c r="AG412" s="96"/>
      <c r="AH412" s="97" t="s">
        <v>79</v>
      </c>
      <c r="AI412" s="97" t="s">
        <v>79</v>
      </c>
      <c r="AJ412" s="97" t="s">
        <v>79</v>
      </c>
      <c r="AK412" s="97" t="s">
        <v>79</v>
      </c>
    </row>
    <row r="413" ht="15.75" customHeight="1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  <c r="AD413" s="96"/>
      <c r="AE413" s="96"/>
      <c r="AF413" s="96"/>
      <c r="AG413" s="96"/>
      <c r="AH413" s="97" t="s">
        <v>79</v>
      </c>
      <c r="AI413" s="97" t="s">
        <v>79</v>
      </c>
      <c r="AJ413" s="97" t="s">
        <v>79</v>
      </c>
      <c r="AK413" s="97" t="s">
        <v>79</v>
      </c>
    </row>
    <row r="414" ht="15.75" customHeight="1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  <c r="AD414" s="96"/>
      <c r="AE414" s="96"/>
      <c r="AF414" s="96"/>
      <c r="AG414" s="96"/>
      <c r="AH414" s="97" t="s">
        <v>79</v>
      </c>
      <c r="AI414" s="97" t="s">
        <v>79</v>
      </c>
      <c r="AJ414" s="97" t="s">
        <v>79</v>
      </c>
      <c r="AK414" s="97" t="s">
        <v>79</v>
      </c>
    </row>
    <row r="415" ht="15.75" customHeight="1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  <c r="AE415" s="96"/>
      <c r="AF415" s="96"/>
      <c r="AG415" s="96"/>
      <c r="AH415" s="97" t="s">
        <v>79</v>
      </c>
      <c r="AI415" s="97" t="s">
        <v>79</v>
      </c>
      <c r="AJ415" s="97" t="s">
        <v>79</v>
      </c>
      <c r="AK415" s="97" t="s">
        <v>79</v>
      </c>
    </row>
    <row r="416" ht="15.75" customHeight="1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  <c r="AG416" s="96"/>
      <c r="AH416" s="97" t="s">
        <v>79</v>
      </c>
      <c r="AI416" s="97" t="s">
        <v>79</v>
      </c>
      <c r="AJ416" s="97" t="s">
        <v>79</v>
      </c>
      <c r="AK416" s="97" t="s">
        <v>79</v>
      </c>
    </row>
    <row r="417" ht="15.75" customHeight="1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  <c r="AG417" s="96"/>
      <c r="AH417" s="97" t="s">
        <v>79</v>
      </c>
      <c r="AI417" s="97" t="s">
        <v>79</v>
      </c>
      <c r="AJ417" s="97" t="s">
        <v>79</v>
      </c>
      <c r="AK417" s="97" t="s">
        <v>79</v>
      </c>
    </row>
    <row r="418" ht="15.75" customHeight="1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  <c r="AH418" s="97" t="s">
        <v>79</v>
      </c>
      <c r="AI418" s="97" t="s">
        <v>79</v>
      </c>
      <c r="AJ418" s="97" t="s">
        <v>79</v>
      </c>
      <c r="AK418" s="97" t="s">
        <v>79</v>
      </c>
    </row>
    <row r="419" ht="15.75" customHeight="1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  <c r="AH419" s="97" t="s">
        <v>79</v>
      </c>
      <c r="AI419" s="97" t="s">
        <v>79</v>
      </c>
      <c r="AJ419" s="97" t="s">
        <v>79</v>
      </c>
      <c r="AK419" s="97" t="s">
        <v>79</v>
      </c>
    </row>
    <row r="420" ht="15.75" customHeight="1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  <c r="AG420" s="96"/>
      <c r="AH420" s="97" t="s">
        <v>79</v>
      </c>
      <c r="AI420" s="97" t="s">
        <v>79</v>
      </c>
      <c r="AJ420" s="97" t="s">
        <v>79</v>
      </c>
      <c r="AK420" s="97" t="s">
        <v>79</v>
      </c>
    </row>
    <row r="421" ht="15.75" customHeight="1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  <c r="AG421" s="96"/>
      <c r="AH421" s="97" t="s">
        <v>79</v>
      </c>
      <c r="AI421" s="97" t="s">
        <v>79</v>
      </c>
      <c r="AJ421" s="97" t="s">
        <v>79</v>
      </c>
      <c r="AK421" s="97" t="s">
        <v>79</v>
      </c>
    </row>
    <row r="422" ht="15.75" customHeight="1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  <c r="AG422" s="96"/>
      <c r="AH422" s="97" t="s">
        <v>79</v>
      </c>
      <c r="AI422" s="97" t="s">
        <v>79</v>
      </c>
      <c r="AJ422" s="97" t="s">
        <v>79</v>
      </c>
      <c r="AK422" s="97" t="s">
        <v>79</v>
      </c>
    </row>
    <row r="423" ht="15.75" customHeight="1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  <c r="AE423" s="96"/>
      <c r="AF423" s="96"/>
      <c r="AG423" s="96"/>
      <c r="AH423" s="97" t="s">
        <v>79</v>
      </c>
      <c r="AI423" s="97" t="s">
        <v>79</v>
      </c>
      <c r="AJ423" s="97" t="s">
        <v>79</v>
      </c>
      <c r="AK423" s="97" t="s">
        <v>79</v>
      </c>
    </row>
    <row r="424" ht="15.75" customHeight="1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7" t="s">
        <v>79</v>
      </c>
      <c r="AI424" s="97" t="s">
        <v>79</v>
      </c>
      <c r="AJ424" s="97" t="s">
        <v>79</v>
      </c>
      <c r="AK424" s="97" t="s">
        <v>79</v>
      </c>
    </row>
    <row r="425" ht="15.75" customHeight="1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  <c r="AD425" s="96"/>
      <c r="AE425" s="96"/>
      <c r="AF425" s="96"/>
      <c r="AG425" s="96"/>
      <c r="AH425" s="97" t="s">
        <v>79</v>
      </c>
      <c r="AI425" s="97" t="s">
        <v>79</v>
      </c>
      <c r="AJ425" s="97" t="s">
        <v>79</v>
      </c>
      <c r="AK425" s="97" t="s">
        <v>79</v>
      </c>
    </row>
    <row r="426" ht="15.75" customHeight="1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  <c r="AD426" s="96"/>
      <c r="AE426" s="96"/>
      <c r="AF426" s="96"/>
      <c r="AG426" s="96"/>
      <c r="AH426" s="97" t="s">
        <v>79</v>
      </c>
      <c r="AI426" s="97" t="s">
        <v>79</v>
      </c>
      <c r="AJ426" s="97" t="s">
        <v>79</v>
      </c>
      <c r="AK426" s="97" t="s">
        <v>79</v>
      </c>
    </row>
    <row r="427" ht="15.75" customHeight="1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  <c r="AD427" s="96"/>
      <c r="AE427" s="96"/>
      <c r="AF427" s="96"/>
      <c r="AG427" s="96"/>
      <c r="AH427" s="97" t="s">
        <v>79</v>
      </c>
      <c r="AI427" s="97" t="s">
        <v>79</v>
      </c>
      <c r="AJ427" s="97" t="s">
        <v>79</v>
      </c>
      <c r="AK427" s="97" t="s">
        <v>79</v>
      </c>
    </row>
    <row r="428" ht="15.75" customHeight="1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  <c r="AD428" s="96"/>
      <c r="AE428" s="96"/>
      <c r="AF428" s="96"/>
      <c r="AG428" s="96"/>
      <c r="AH428" s="97" t="s">
        <v>79</v>
      </c>
      <c r="AI428" s="97" t="s">
        <v>79</v>
      </c>
      <c r="AJ428" s="97" t="s">
        <v>79</v>
      </c>
      <c r="AK428" s="97" t="s">
        <v>79</v>
      </c>
    </row>
    <row r="429" ht="15.75" customHeight="1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  <c r="AG429" s="96"/>
      <c r="AH429" s="97" t="s">
        <v>79</v>
      </c>
      <c r="AI429" s="97" t="s">
        <v>79</v>
      </c>
      <c r="AJ429" s="97" t="s">
        <v>79</v>
      </c>
      <c r="AK429" s="97" t="s">
        <v>79</v>
      </c>
    </row>
    <row r="430" ht="15.75" customHeight="1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  <c r="AE430" s="96"/>
      <c r="AF430" s="96"/>
      <c r="AG430" s="96"/>
      <c r="AH430" s="97" t="s">
        <v>79</v>
      </c>
      <c r="AI430" s="97" t="s">
        <v>79</v>
      </c>
      <c r="AJ430" s="97" t="s">
        <v>79</v>
      </c>
      <c r="AK430" s="97" t="s">
        <v>79</v>
      </c>
    </row>
    <row r="431" ht="15.75" customHeight="1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  <c r="AG431" s="96"/>
      <c r="AH431" s="97" t="s">
        <v>79</v>
      </c>
      <c r="AI431" s="97" t="s">
        <v>79</v>
      </c>
      <c r="AJ431" s="97" t="s">
        <v>79</v>
      </c>
      <c r="AK431" s="97" t="s">
        <v>79</v>
      </c>
    </row>
    <row r="432" ht="15.75" customHeight="1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  <c r="AD432" s="96"/>
      <c r="AE432" s="96"/>
      <c r="AF432" s="96"/>
      <c r="AG432" s="96"/>
      <c r="AH432" s="97" t="s">
        <v>79</v>
      </c>
      <c r="AI432" s="97" t="s">
        <v>79</v>
      </c>
      <c r="AJ432" s="97" t="s">
        <v>79</v>
      </c>
      <c r="AK432" s="97" t="s">
        <v>79</v>
      </c>
    </row>
    <row r="433" ht="15.75" customHeight="1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  <c r="AD433" s="96"/>
      <c r="AE433" s="96"/>
      <c r="AF433" s="96"/>
      <c r="AG433" s="96"/>
      <c r="AH433" s="97" t="s">
        <v>79</v>
      </c>
      <c r="AI433" s="97" t="s">
        <v>79</v>
      </c>
      <c r="AJ433" s="97" t="s">
        <v>79</v>
      </c>
      <c r="AK433" s="97" t="s">
        <v>79</v>
      </c>
    </row>
    <row r="434" ht="15.75" customHeight="1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  <c r="AD434" s="96"/>
      <c r="AE434" s="96"/>
      <c r="AF434" s="96"/>
      <c r="AG434" s="96"/>
      <c r="AH434" s="97" t="s">
        <v>79</v>
      </c>
      <c r="AI434" s="97" t="s">
        <v>79</v>
      </c>
      <c r="AJ434" s="97" t="s">
        <v>79</v>
      </c>
      <c r="AK434" s="97" t="s">
        <v>79</v>
      </c>
    </row>
    <row r="435" ht="15.75" customHeight="1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  <c r="AE435" s="96"/>
      <c r="AF435" s="96"/>
      <c r="AG435" s="96"/>
      <c r="AH435" s="97" t="s">
        <v>79</v>
      </c>
      <c r="AI435" s="97" t="s">
        <v>79</v>
      </c>
      <c r="AJ435" s="97" t="s">
        <v>79</v>
      </c>
      <c r="AK435" s="97" t="s">
        <v>79</v>
      </c>
    </row>
    <row r="436" ht="15.75" customHeight="1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  <c r="AD436" s="96"/>
      <c r="AE436" s="96"/>
      <c r="AF436" s="96"/>
      <c r="AG436" s="96"/>
      <c r="AH436" s="97" t="s">
        <v>79</v>
      </c>
      <c r="AI436" s="97" t="s">
        <v>79</v>
      </c>
      <c r="AJ436" s="97" t="s">
        <v>79</v>
      </c>
      <c r="AK436" s="97" t="s">
        <v>79</v>
      </c>
    </row>
    <row r="437" ht="15.75" customHeight="1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  <c r="AD437" s="96"/>
      <c r="AE437" s="96"/>
      <c r="AF437" s="96"/>
      <c r="AG437" s="96"/>
      <c r="AH437" s="97" t="s">
        <v>79</v>
      </c>
      <c r="AI437" s="97" t="s">
        <v>79</v>
      </c>
      <c r="AJ437" s="97" t="s">
        <v>79</v>
      </c>
      <c r="AK437" s="97" t="s">
        <v>79</v>
      </c>
    </row>
    <row r="438" ht="15.75" customHeight="1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  <c r="AD438" s="96"/>
      <c r="AE438" s="96"/>
      <c r="AF438" s="96"/>
      <c r="AG438" s="96"/>
      <c r="AH438" s="97" t="s">
        <v>79</v>
      </c>
      <c r="AI438" s="97" t="s">
        <v>79</v>
      </c>
      <c r="AJ438" s="97" t="s">
        <v>79</v>
      </c>
      <c r="AK438" s="97" t="s">
        <v>79</v>
      </c>
    </row>
    <row r="439" ht="15.75" customHeight="1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  <c r="AD439" s="96"/>
      <c r="AE439" s="96"/>
      <c r="AF439" s="96"/>
      <c r="AG439" s="96"/>
      <c r="AH439" s="97" t="s">
        <v>79</v>
      </c>
      <c r="AI439" s="97" t="s">
        <v>79</v>
      </c>
      <c r="AJ439" s="97" t="s">
        <v>79</v>
      </c>
      <c r="AK439" s="97" t="s">
        <v>79</v>
      </c>
    </row>
    <row r="440" ht="15.75" customHeight="1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  <c r="AD440" s="96"/>
      <c r="AE440" s="96"/>
      <c r="AF440" s="96"/>
      <c r="AG440" s="96"/>
      <c r="AH440" s="97" t="s">
        <v>79</v>
      </c>
      <c r="AI440" s="97" t="s">
        <v>79</v>
      </c>
      <c r="AJ440" s="97" t="s">
        <v>79</v>
      </c>
      <c r="AK440" s="97" t="s">
        <v>79</v>
      </c>
    </row>
    <row r="441" ht="15.75" customHeight="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  <c r="AD441" s="96"/>
      <c r="AE441" s="96"/>
      <c r="AF441" s="96"/>
      <c r="AG441" s="96"/>
      <c r="AH441" s="97" t="s">
        <v>79</v>
      </c>
      <c r="AI441" s="97" t="s">
        <v>79</v>
      </c>
      <c r="AJ441" s="97" t="s">
        <v>79</v>
      </c>
      <c r="AK441" s="97" t="s">
        <v>79</v>
      </c>
    </row>
    <row r="442" ht="15.75" customHeight="1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  <c r="AD442" s="96"/>
      <c r="AE442" s="96"/>
      <c r="AF442" s="96"/>
      <c r="AG442" s="96"/>
      <c r="AH442" s="97" t="s">
        <v>79</v>
      </c>
      <c r="AI442" s="97" t="s">
        <v>79</v>
      </c>
      <c r="AJ442" s="97" t="s">
        <v>79</v>
      </c>
      <c r="AK442" s="97" t="s">
        <v>79</v>
      </c>
    </row>
    <row r="443" ht="15.75" customHeight="1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  <c r="AD443" s="96"/>
      <c r="AE443" s="96"/>
      <c r="AF443" s="96"/>
      <c r="AG443" s="96"/>
      <c r="AH443" s="97" t="s">
        <v>79</v>
      </c>
      <c r="AI443" s="97" t="s">
        <v>79</v>
      </c>
      <c r="AJ443" s="97" t="s">
        <v>79</v>
      </c>
      <c r="AK443" s="97" t="s">
        <v>79</v>
      </c>
    </row>
    <row r="444" ht="15.75" customHeight="1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  <c r="AD444" s="96"/>
      <c r="AE444" s="96"/>
      <c r="AF444" s="96"/>
      <c r="AG444" s="96"/>
      <c r="AH444" s="97" t="s">
        <v>79</v>
      </c>
      <c r="AI444" s="97" t="s">
        <v>79</v>
      </c>
      <c r="AJ444" s="97" t="s">
        <v>79</v>
      </c>
      <c r="AK444" s="97" t="s">
        <v>79</v>
      </c>
    </row>
    <row r="445" ht="15.75" customHeight="1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  <c r="AD445" s="96"/>
      <c r="AE445" s="96"/>
      <c r="AF445" s="96"/>
      <c r="AG445" s="96"/>
      <c r="AH445" s="97" t="s">
        <v>79</v>
      </c>
      <c r="AI445" s="97" t="s">
        <v>79</v>
      </c>
      <c r="AJ445" s="97" t="s">
        <v>79</v>
      </c>
      <c r="AK445" s="97" t="s">
        <v>79</v>
      </c>
    </row>
    <row r="446" ht="15.75" customHeight="1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  <c r="AD446" s="96"/>
      <c r="AE446" s="96"/>
      <c r="AF446" s="96"/>
      <c r="AG446" s="96"/>
      <c r="AH446" s="97" t="s">
        <v>79</v>
      </c>
      <c r="AI446" s="97" t="s">
        <v>79</v>
      </c>
      <c r="AJ446" s="97" t="s">
        <v>79</v>
      </c>
      <c r="AK446" s="97" t="s">
        <v>79</v>
      </c>
    </row>
    <row r="447" ht="15.75" customHeight="1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  <c r="AD447" s="96"/>
      <c r="AE447" s="96"/>
      <c r="AF447" s="96"/>
      <c r="AG447" s="96"/>
      <c r="AH447" s="97" t="s">
        <v>79</v>
      </c>
      <c r="AI447" s="97" t="s">
        <v>79</v>
      </c>
      <c r="AJ447" s="97" t="s">
        <v>79</v>
      </c>
      <c r="AK447" s="97" t="s">
        <v>79</v>
      </c>
    </row>
    <row r="448" ht="15.75" customHeight="1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  <c r="AD448" s="96"/>
      <c r="AE448" s="96"/>
      <c r="AF448" s="96"/>
      <c r="AG448" s="96"/>
      <c r="AH448" s="97" t="s">
        <v>79</v>
      </c>
      <c r="AI448" s="97" t="s">
        <v>79</v>
      </c>
      <c r="AJ448" s="97" t="s">
        <v>79</v>
      </c>
      <c r="AK448" s="97" t="s">
        <v>79</v>
      </c>
    </row>
    <row r="449" ht="15.75" customHeight="1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  <c r="AD449" s="96"/>
      <c r="AE449" s="96"/>
      <c r="AF449" s="96"/>
      <c r="AG449" s="96"/>
      <c r="AH449" s="97" t="s">
        <v>79</v>
      </c>
      <c r="AI449" s="97" t="s">
        <v>79</v>
      </c>
      <c r="AJ449" s="97" t="s">
        <v>79</v>
      </c>
      <c r="AK449" s="97" t="s">
        <v>79</v>
      </c>
    </row>
    <row r="450" ht="15.75" customHeight="1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  <c r="AD450" s="96"/>
      <c r="AE450" s="96"/>
      <c r="AF450" s="96"/>
      <c r="AG450" s="96"/>
      <c r="AH450" s="97" t="s">
        <v>79</v>
      </c>
      <c r="AI450" s="97" t="s">
        <v>79</v>
      </c>
      <c r="AJ450" s="97" t="s">
        <v>79</v>
      </c>
      <c r="AK450" s="97" t="s">
        <v>79</v>
      </c>
    </row>
    <row r="451" ht="15.75" customHeight="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  <c r="AD451" s="96"/>
      <c r="AE451" s="96"/>
      <c r="AF451" s="96"/>
      <c r="AG451" s="96"/>
      <c r="AH451" s="97" t="s">
        <v>79</v>
      </c>
      <c r="AI451" s="97" t="s">
        <v>79</v>
      </c>
      <c r="AJ451" s="97" t="s">
        <v>79</v>
      </c>
      <c r="AK451" s="97" t="s">
        <v>79</v>
      </c>
    </row>
    <row r="452" ht="15.75" customHeight="1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  <c r="AD452" s="96"/>
      <c r="AE452" s="96"/>
      <c r="AF452" s="96"/>
      <c r="AG452" s="96"/>
      <c r="AH452" s="97" t="s">
        <v>79</v>
      </c>
      <c r="AI452" s="97" t="s">
        <v>79</v>
      </c>
      <c r="AJ452" s="97" t="s">
        <v>79</v>
      </c>
      <c r="AK452" s="97" t="s">
        <v>79</v>
      </c>
    </row>
    <row r="453" ht="15.75" customHeight="1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  <c r="AG453" s="96"/>
      <c r="AH453" s="97" t="s">
        <v>79</v>
      </c>
      <c r="AI453" s="97" t="s">
        <v>79</v>
      </c>
      <c r="AJ453" s="97" t="s">
        <v>79</v>
      </c>
      <c r="AK453" s="97" t="s">
        <v>79</v>
      </c>
    </row>
    <row r="454" ht="15.75" customHeight="1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  <c r="AD454" s="96"/>
      <c r="AE454" s="96"/>
      <c r="AF454" s="96"/>
      <c r="AG454" s="96"/>
      <c r="AH454" s="97" t="s">
        <v>79</v>
      </c>
      <c r="AI454" s="97" t="s">
        <v>79</v>
      </c>
      <c r="AJ454" s="97" t="s">
        <v>79</v>
      </c>
      <c r="AK454" s="97" t="s">
        <v>79</v>
      </c>
    </row>
    <row r="455" ht="15.75" customHeight="1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  <c r="AD455" s="96"/>
      <c r="AE455" s="96"/>
      <c r="AF455" s="96"/>
      <c r="AG455" s="96"/>
      <c r="AH455" s="97" t="s">
        <v>79</v>
      </c>
      <c r="AI455" s="97" t="s">
        <v>79</v>
      </c>
      <c r="AJ455" s="97" t="s">
        <v>79</v>
      </c>
      <c r="AK455" s="97" t="s">
        <v>79</v>
      </c>
    </row>
    <row r="456" ht="15.75" customHeight="1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  <c r="AD456" s="96"/>
      <c r="AE456" s="96"/>
      <c r="AF456" s="96"/>
      <c r="AG456" s="96"/>
      <c r="AH456" s="97" t="s">
        <v>79</v>
      </c>
      <c r="AI456" s="97" t="s">
        <v>79</v>
      </c>
      <c r="AJ456" s="97" t="s">
        <v>79</v>
      </c>
      <c r="AK456" s="97" t="s">
        <v>79</v>
      </c>
    </row>
    <row r="457" ht="15.75" customHeight="1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  <c r="AD457" s="96"/>
      <c r="AE457" s="96"/>
      <c r="AF457" s="96"/>
      <c r="AG457" s="96"/>
      <c r="AH457" s="97" t="s">
        <v>79</v>
      </c>
      <c r="AI457" s="97" t="s">
        <v>79</v>
      </c>
      <c r="AJ457" s="97" t="s">
        <v>79</v>
      </c>
      <c r="AK457" s="97" t="s">
        <v>79</v>
      </c>
    </row>
    <row r="458" ht="15.75" customHeight="1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  <c r="AD458" s="96"/>
      <c r="AE458" s="96"/>
      <c r="AF458" s="96"/>
      <c r="AG458" s="96"/>
      <c r="AH458" s="97" t="s">
        <v>79</v>
      </c>
      <c r="AI458" s="97" t="s">
        <v>79</v>
      </c>
      <c r="AJ458" s="97" t="s">
        <v>79</v>
      </c>
      <c r="AK458" s="97" t="s">
        <v>79</v>
      </c>
    </row>
    <row r="459" ht="15.75" customHeight="1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  <c r="AD459" s="96"/>
      <c r="AE459" s="96"/>
      <c r="AF459" s="96"/>
      <c r="AG459" s="96"/>
      <c r="AH459" s="97" t="s">
        <v>79</v>
      </c>
      <c r="AI459" s="97" t="s">
        <v>79</v>
      </c>
      <c r="AJ459" s="97" t="s">
        <v>79</v>
      </c>
      <c r="AK459" s="97" t="s">
        <v>79</v>
      </c>
    </row>
    <row r="460" ht="15.75" customHeight="1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  <c r="AD460" s="96"/>
      <c r="AE460" s="96"/>
      <c r="AF460" s="96"/>
      <c r="AG460" s="96"/>
      <c r="AH460" s="97" t="s">
        <v>79</v>
      </c>
      <c r="AI460" s="97" t="s">
        <v>79</v>
      </c>
      <c r="AJ460" s="97" t="s">
        <v>79</v>
      </c>
      <c r="AK460" s="97" t="s">
        <v>79</v>
      </c>
    </row>
    <row r="461" ht="15.75" customHeight="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  <c r="AD461" s="96"/>
      <c r="AE461" s="96"/>
      <c r="AF461" s="96"/>
      <c r="AG461" s="96"/>
      <c r="AH461" s="97" t="s">
        <v>79</v>
      </c>
      <c r="AI461" s="97" t="s">
        <v>79</v>
      </c>
      <c r="AJ461" s="97" t="s">
        <v>79</v>
      </c>
      <c r="AK461" s="97" t="s">
        <v>79</v>
      </c>
    </row>
    <row r="462" ht="15.75" customHeight="1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  <c r="AD462" s="96"/>
      <c r="AE462" s="96"/>
      <c r="AF462" s="96"/>
      <c r="AG462" s="96"/>
      <c r="AH462" s="97" t="s">
        <v>79</v>
      </c>
      <c r="AI462" s="97" t="s">
        <v>79</v>
      </c>
      <c r="AJ462" s="97" t="s">
        <v>79</v>
      </c>
      <c r="AK462" s="97" t="s">
        <v>79</v>
      </c>
    </row>
    <row r="463" ht="15.75" customHeight="1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  <c r="AD463" s="96"/>
      <c r="AE463" s="96"/>
      <c r="AF463" s="96"/>
      <c r="AG463" s="96"/>
      <c r="AH463" s="97" t="s">
        <v>79</v>
      </c>
      <c r="AI463" s="97" t="s">
        <v>79</v>
      </c>
      <c r="AJ463" s="97" t="s">
        <v>79</v>
      </c>
      <c r="AK463" s="97" t="s">
        <v>79</v>
      </c>
    </row>
    <row r="464" ht="15.75" customHeight="1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  <c r="AD464" s="96"/>
      <c r="AE464" s="96"/>
      <c r="AF464" s="96"/>
      <c r="AG464" s="96"/>
      <c r="AH464" s="97" t="s">
        <v>79</v>
      </c>
      <c r="AI464" s="97" t="s">
        <v>79</v>
      </c>
      <c r="AJ464" s="97" t="s">
        <v>79</v>
      </c>
      <c r="AK464" s="97" t="s">
        <v>79</v>
      </c>
    </row>
    <row r="465" ht="15.75" customHeight="1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  <c r="AH465" s="97" t="s">
        <v>79</v>
      </c>
      <c r="AI465" s="97" t="s">
        <v>79</v>
      </c>
      <c r="AJ465" s="97" t="s">
        <v>79</v>
      </c>
      <c r="AK465" s="97" t="s">
        <v>79</v>
      </c>
    </row>
    <row r="466" ht="15.75" customHeight="1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  <c r="AD466" s="96"/>
      <c r="AE466" s="96"/>
      <c r="AF466" s="96"/>
      <c r="AG466" s="96"/>
      <c r="AH466" s="97" t="s">
        <v>79</v>
      </c>
      <c r="AI466" s="97" t="s">
        <v>79</v>
      </c>
      <c r="AJ466" s="97" t="s">
        <v>79</v>
      </c>
      <c r="AK466" s="97" t="s">
        <v>79</v>
      </c>
    </row>
    <row r="467" ht="15.75" customHeight="1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  <c r="AD467" s="96"/>
      <c r="AE467" s="96"/>
      <c r="AF467" s="96"/>
      <c r="AG467" s="96"/>
      <c r="AH467" s="97" t="s">
        <v>79</v>
      </c>
      <c r="AI467" s="97" t="s">
        <v>79</v>
      </c>
      <c r="AJ467" s="97" t="s">
        <v>79</v>
      </c>
      <c r="AK467" s="97" t="s">
        <v>79</v>
      </c>
    </row>
    <row r="468" ht="15.75" customHeight="1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  <c r="AD468" s="96"/>
      <c r="AE468" s="96"/>
      <c r="AF468" s="96"/>
      <c r="AG468" s="96"/>
      <c r="AH468" s="97" t="s">
        <v>79</v>
      </c>
      <c r="AI468" s="97" t="s">
        <v>79</v>
      </c>
      <c r="AJ468" s="97" t="s">
        <v>79</v>
      </c>
      <c r="AK468" s="97" t="s">
        <v>79</v>
      </c>
    </row>
    <row r="469" ht="15.75" customHeight="1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  <c r="AD469" s="96"/>
      <c r="AE469" s="96"/>
      <c r="AF469" s="96"/>
      <c r="AG469" s="96"/>
      <c r="AH469" s="97" t="s">
        <v>79</v>
      </c>
      <c r="AI469" s="97" t="s">
        <v>79</v>
      </c>
      <c r="AJ469" s="97" t="s">
        <v>79</v>
      </c>
      <c r="AK469" s="97" t="s">
        <v>79</v>
      </c>
    </row>
    <row r="470" ht="15.75" customHeight="1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  <c r="AD470" s="96"/>
      <c r="AE470" s="96"/>
      <c r="AF470" s="96"/>
      <c r="AG470" s="96"/>
      <c r="AH470" s="97" t="s">
        <v>79</v>
      </c>
      <c r="AI470" s="97" t="s">
        <v>79</v>
      </c>
      <c r="AJ470" s="97" t="s">
        <v>79</v>
      </c>
      <c r="AK470" s="97" t="s">
        <v>79</v>
      </c>
    </row>
    <row r="471" ht="15.75" customHeight="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  <c r="AD471" s="96"/>
      <c r="AE471" s="96"/>
      <c r="AF471" s="96"/>
      <c r="AG471" s="96"/>
      <c r="AH471" s="97" t="s">
        <v>79</v>
      </c>
      <c r="AI471" s="97" t="s">
        <v>79</v>
      </c>
      <c r="AJ471" s="97" t="s">
        <v>79</v>
      </c>
      <c r="AK471" s="97" t="s">
        <v>79</v>
      </c>
    </row>
    <row r="472" ht="15.75" customHeight="1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  <c r="AD472" s="96"/>
      <c r="AE472" s="96"/>
      <c r="AF472" s="96"/>
      <c r="AG472" s="96"/>
      <c r="AH472" s="97" t="s">
        <v>79</v>
      </c>
      <c r="AI472" s="97" t="s">
        <v>79</v>
      </c>
      <c r="AJ472" s="97" t="s">
        <v>79</v>
      </c>
      <c r="AK472" s="97" t="s">
        <v>79</v>
      </c>
    </row>
    <row r="473" ht="15.75" customHeight="1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  <c r="AD473" s="96"/>
      <c r="AE473" s="96"/>
      <c r="AF473" s="96"/>
      <c r="AG473" s="96"/>
      <c r="AH473" s="97" t="s">
        <v>79</v>
      </c>
      <c r="AI473" s="97" t="s">
        <v>79</v>
      </c>
      <c r="AJ473" s="97" t="s">
        <v>79</v>
      </c>
      <c r="AK473" s="97" t="s">
        <v>79</v>
      </c>
    </row>
    <row r="474" ht="15.75" customHeight="1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  <c r="AE474" s="96"/>
      <c r="AF474" s="96"/>
      <c r="AG474" s="96"/>
      <c r="AH474" s="97" t="s">
        <v>79</v>
      </c>
      <c r="AI474" s="97" t="s">
        <v>79</v>
      </c>
      <c r="AJ474" s="97" t="s">
        <v>79</v>
      </c>
      <c r="AK474" s="97" t="s">
        <v>79</v>
      </c>
    </row>
    <row r="475" ht="15.75" customHeight="1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  <c r="AE475" s="96"/>
      <c r="AF475" s="96"/>
      <c r="AG475" s="96"/>
      <c r="AH475" s="97" t="s">
        <v>79</v>
      </c>
      <c r="AI475" s="97" t="s">
        <v>79</v>
      </c>
      <c r="AJ475" s="97" t="s">
        <v>79</v>
      </c>
      <c r="AK475" s="97" t="s">
        <v>79</v>
      </c>
    </row>
    <row r="476" ht="15.75" customHeight="1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  <c r="AD476" s="96"/>
      <c r="AE476" s="96"/>
      <c r="AF476" s="96"/>
      <c r="AG476" s="96"/>
      <c r="AH476" s="97" t="s">
        <v>79</v>
      </c>
      <c r="AI476" s="97" t="s">
        <v>79</v>
      </c>
      <c r="AJ476" s="97" t="s">
        <v>79</v>
      </c>
      <c r="AK476" s="97" t="s">
        <v>79</v>
      </c>
    </row>
    <row r="477" ht="15.75" customHeight="1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  <c r="AD477" s="96"/>
      <c r="AE477" s="96"/>
      <c r="AF477" s="96"/>
      <c r="AG477" s="96"/>
      <c r="AH477" s="97" t="s">
        <v>79</v>
      </c>
      <c r="AI477" s="97" t="s">
        <v>79</v>
      </c>
      <c r="AJ477" s="97" t="s">
        <v>79</v>
      </c>
      <c r="AK477" s="97" t="s">
        <v>79</v>
      </c>
    </row>
    <row r="478" ht="15.75" customHeight="1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  <c r="AD478" s="96"/>
      <c r="AE478" s="96"/>
      <c r="AF478" s="96"/>
      <c r="AG478" s="96"/>
      <c r="AH478" s="97" t="s">
        <v>79</v>
      </c>
      <c r="AI478" s="97" t="s">
        <v>79</v>
      </c>
      <c r="AJ478" s="97" t="s">
        <v>79</v>
      </c>
      <c r="AK478" s="97" t="s">
        <v>79</v>
      </c>
    </row>
    <row r="479" ht="15.75" customHeight="1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  <c r="AD479" s="96"/>
      <c r="AE479" s="96"/>
      <c r="AF479" s="96"/>
      <c r="AG479" s="96"/>
      <c r="AH479" s="97" t="s">
        <v>79</v>
      </c>
      <c r="AI479" s="97" t="s">
        <v>79</v>
      </c>
      <c r="AJ479" s="97" t="s">
        <v>79</v>
      </c>
      <c r="AK479" s="97" t="s">
        <v>79</v>
      </c>
    </row>
    <row r="480" ht="15.75" customHeight="1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  <c r="AD480" s="96"/>
      <c r="AE480" s="96"/>
      <c r="AF480" s="96"/>
      <c r="AG480" s="96"/>
      <c r="AH480" s="97" t="s">
        <v>79</v>
      </c>
      <c r="AI480" s="97" t="s">
        <v>79</v>
      </c>
      <c r="AJ480" s="97" t="s">
        <v>79</v>
      </c>
      <c r="AK480" s="97" t="s">
        <v>79</v>
      </c>
    </row>
    <row r="481" ht="15.75" customHeight="1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  <c r="AD481" s="96"/>
      <c r="AE481" s="96"/>
      <c r="AF481" s="96"/>
      <c r="AG481" s="96"/>
      <c r="AH481" s="97" t="s">
        <v>79</v>
      </c>
      <c r="AI481" s="97" t="s">
        <v>79</v>
      </c>
      <c r="AJ481" s="97" t="s">
        <v>79</v>
      </c>
      <c r="AK481" s="97" t="s">
        <v>79</v>
      </c>
    </row>
    <row r="482" ht="15.75" customHeight="1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  <c r="AE482" s="96"/>
      <c r="AF482" s="96"/>
      <c r="AG482" s="96"/>
      <c r="AH482" s="97" t="s">
        <v>79</v>
      </c>
      <c r="AI482" s="97" t="s">
        <v>79</v>
      </c>
      <c r="AJ482" s="97" t="s">
        <v>79</v>
      </c>
      <c r="AK482" s="97" t="s">
        <v>79</v>
      </c>
    </row>
    <row r="483" ht="15.75" customHeight="1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  <c r="AE483" s="96"/>
      <c r="AF483" s="96"/>
      <c r="AG483" s="96"/>
      <c r="AH483" s="97" t="s">
        <v>79</v>
      </c>
      <c r="AI483" s="97" t="s">
        <v>79</v>
      </c>
      <c r="AJ483" s="97" t="s">
        <v>79</v>
      </c>
      <c r="AK483" s="97" t="s">
        <v>79</v>
      </c>
    </row>
    <row r="484" ht="15.75" customHeight="1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  <c r="AE484" s="96"/>
      <c r="AF484" s="96"/>
      <c r="AG484" s="96"/>
      <c r="AH484" s="97" t="s">
        <v>79</v>
      </c>
      <c r="AI484" s="97" t="s">
        <v>79</v>
      </c>
      <c r="AJ484" s="97" t="s">
        <v>79</v>
      </c>
      <c r="AK484" s="97" t="s">
        <v>79</v>
      </c>
    </row>
    <row r="485" ht="15.75" customHeight="1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  <c r="AD485" s="96"/>
      <c r="AE485" s="96"/>
      <c r="AF485" s="96"/>
      <c r="AG485" s="96"/>
      <c r="AH485" s="97" t="s">
        <v>79</v>
      </c>
      <c r="AI485" s="97" t="s">
        <v>79</v>
      </c>
      <c r="AJ485" s="97" t="s">
        <v>79</v>
      </c>
      <c r="AK485" s="97" t="s">
        <v>79</v>
      </c>
    </row>
    <row r="486" ht="15.75" customHeight="1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  <c r="AE486" s="96"/>
      <c r="AF486" s="96"/>
      <c r="AG486" s="96"/>
      <c r="AH486" s="97" t="s">
        <v>79</v>
      </c>
      <c r="AI486" s="97" t="s">
        <v>79</v>
      </c>
      <c r="AJ486" s="97" t="s">
        <v>79</v>
      </c>
      <c r="AK486" s="97" t="s">
        <v>79</v>
      </c>
    </row>
    <row r="487" ht="15.75" customHeight="1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  <c r="AE487" s="96"/>
      <c r="AF487" s="96"/>
      <c r="AG487" s="96"/>
      <c r="AH487" s="97" t="s">
        <v>79</v>
      </c>
      <c r="AI487" s="97" t="s">
        <v>79</v>
      </c>
      <c r="AJ487" s="97" t="s">
        <v>79</v>
      </c>
      <c r="AK487" s="97" t="s">
        <v>79</v>
      </c>
    </row>
    <row r="488" ht="15.75" customHeight="1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  <c r="AE488" s="96"/>
      <c r="AF488" s="96"/>
      <c r="AG488" s="96"/>
      <c r="AH488" s="97" t="s">
        <v>79</v>
      </c>
      <c r="AI488" s="97" t="s">
        <v>79</v>
      </c>
      <c r="AJ488" s="97" t="s">
        <v>79</v>
      </c>
      <c r="AK488" s="97" t="s">
        <v>79</v>
      </c>
    </row>
    <row r="489" ht="15.75" customHeight="1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  <c r="AE489" s="96"/>
      <c r="AF489" s="96"/>
      <c r="AG489" s="96"/>
      <c r="AH489" s="97" t="s">
        <v>79</v>
      </c>
      <c r="AI489" s="97" t="s">
        <v>79</v>
      </c>
      <c r="AJ489" s="97" t="s">
        <v>79</v>
      </c>
      <c r="AK489" s="97" t="s">
        <v>79</v>
      </c>
    </row>
    <row r="490" ht="15.75" customHeight="1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  <c r="AE490" s="96"/>
      <c r="AF490" s="96"/>
      <c r="AG490" s="96"/>
      <c r="AH490" s="97" t="s">
        <v>79</v>
      </c>
      <c r="AI490" s="97" t="s">
        <v>79</v>
      </c>
      <c r="AJ490" s="97" t="s">
        <v>79</v>
      </c>
      <c r="AK490" s="97" t="s">
        <v>79</v>
      </c>
    </row>
    <row r="491" ht="15.75" customHeight="1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  <c r="AE491" s="96"/>
      <c r="AF491" s="96"/>
      <c r="AG491" s="96"/>
      <c r="AH491" s="97" t="s">
        <v>79</v>
      </c>
      <c r="AI491" s="97" t="s">
        <v>79</v>
      </c>
      <c r="AJ491" s="97" t="s">
        <v>79</v>
      </c>
      <c r="AK491" s="97" t="s">
        <v>79</v>
      </c>
    </row>
    <row r="492" ht="15.75" customHeight="1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  <c r="AE492" s="96"/>
      <c r="AF492" s="96"/>
      <c r="AG492" s="96"/>
      <c r="AH492" s="97" t="s">
        <v>79</v>
      </c>
      <c r="AI492" s="97" t="s">
        <v>79</v>
      </c>
      <c r="AJ492" s="97" t="s">
        <v>79</v>
      </c>
      <c r="AK492" s="97" t="s">
        <v>79</v>
      </c>
    </row>
    <row r="493" ht="15.75" customHeight="1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  <c r="AE493" s="96"/>
      <c r="AF493" s="96"/>
      <c r="AG493" s="96"/>
      <c r="AH493" s="97" t="s">
        <v>79</v>
      </c>
      <c r="AI493" s="97" t="s">
        <v>79</v>
      </c>
      <c r="AJ493" s="97" t="s">
        <v>79</v>
      </c>
      <c r="AK493" s="97" t="s">
        <v>79</v>
      </c>
    </row>
    <row r="494" ht="15.75" customHeight="1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  <c r="AE494" s="96"/>
      <c r="AF494" s="96"/>
      <c r="AG494" s="96"/>
      <c r="AH494" s="97" t="s">
        <v>79</v>
      </c>
      <c r="AI494" s="97" t="s">
        <v>79</v>
      </c>
      <c r="AJ494" s="97" t="s">
        <v>79</v>
      </c>
      <c r="AK494" s="97" t="s">
        <v>79</v>
      </c>
    </row>
    <row r="495" ht="15.75" customHeight="1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  <c r="AH495" s="97" t="s">
        <v>79</v>
      </c>
      <c r="AI495" s="97" t="s">
        <v>79</v>
      </c>
      <c r="AJ495" s="97" t="s">
        <v>79</v>
      </c>
      <c r="AK495" s="97" t="s">
        <v>79</v>
      </c>
    </row>
    <row r="496" ht="15.75" customHeight="1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  <c r="AF496" s="96"/>
      <c r="AG496" s="96"/>
      <c r="AH496" s="97" t="s">
        <v>79</v>
      </c>
      <c r="AI496" s="97" t="s">
        <v>79</v>
      </c>
      <c r="AJ496" s="97" t="s">
        <v>79</v>
      </c>
      <c r="AK496" s="97" t="s">
        <v>79</v>
      </c>
    </row>
    <row r="497" ht="15.75" customHeight="1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  <c r="AE497" s="96"/>
      <c r="AF497" s="96"/>
      <c r="AG497" s="96"/>
      <c r="AH497" s="97" t="s">
        <v>79</v>
      </c>
      <c r="AI497" s="97" t="s">
        <v>79</v>
      </c>
      <c r="AJ497" s="97" t="s">
        <v>79</v>
      </c>
      <c r="AK497" s="97" t="s">
        <v>79</v>
      </c>
    </row>
    <row r="498" ht="15.75" customHeight="1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  <c r="AE498" s="96"/>
      <c r="AF498" s="96"/>
      <c r="AG498" s="96"/>
      <c r="AH498" s="97" t="s">
        <v>79</v>
      </c>
      <c r="AI498" s="97" t="s">
        <v>79</v>
      </c>
      <c r="AJ498" s="97" t="s">
        <v>79</v>
      </c>
      <c r="AK498" s="97" t="s">
        <v>79</v>
      </c>
    </row>
    <row r="499" ht="15.75" customHeight="1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  <c r="AE499" s="96"/>
      <c r="AF499" s="96"/>
      <c r="AG499" s="96"/>
      <c r="AH499" s="97" t="s">
        <v>79</v>
      </c>
      <c r="AI499" s="97" t="s">
        <v>79</v>
      </c>
      <c r="AJ499" s="97" t="s">
        <v>79</v>
      </c>
      <c r="AK499" s="97" t="s">
        <v>79</v>
      </c>
    </row>
    <row r="500" ht="15.75" customHeight="1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  <c r="AD500" s="96"/>
      <c r="AE500" s="96"/>
      <c r="AF500" s="96"/>
      <c r="AG500" s="96"/>
      <c r="AH500" s="97" t="s">
        <v>79</v>
      </c>
      <c r="AI500" s="97" t="s">
        <v>79</v>
      </c>
      <c r="AJ500" s="97" t="s">
        <v>79</v>
      </c>
      <c r="AK500" s="97" t="s">
        <v>79</v>
      </c>
    </row>
    <row r="501" ht="15.75" customHeight="1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  <c r="AD501" s="96"/>
      <c r="AE501" s="96"/>
      <c r="AF501" s="96"/>
      <c r="AG501" s="96"/>
      <c r="AH501" s="97" t="s">
        <v>79</v>
      </c>
      <c r="AI501" s="97" t="s">
        <v>79</v>
      </c>
      <c r="AJ501" s="97" t="s">
        <v>79</v>
      </c>
      <c r="AK501" s="97" t="s">
        <v>79</v>
      </c>
    </row>
    <row r="502" ht="15.75" customHeight="1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7" t="s">
        <v>79</v>
      </c>
      <c r="AI502" s="97" t="s">
        <v>79</v>
      </c>
      <c r="AJ502" s="97" t="s">
        <v>79</v>
      </c>
      <c r="AK502" s="97" t="s">
        <v>79</v>
      </c>
    </row>
    <row r="503" ht="15.75" customHeight="1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  <c r="AD503" s="96"/>
      <c r="AE503" s="96"/>
      <c r="AF503" s="96"/>
      <c r="AG503" s="96"/>
      <c r="AH503" s="97" t="s">
        <v>79</v>
      </c>
      <c r="AI503" s="97" t="s">
        <v>79</v>
      </c>
      <c r="AJ503" s="97" t="s">
        <v>79</v>
      </c>
      <c r="AK503" s="97" t="s">
        <v>79</v>
      </c>
    </row>
    <row r="504" ht="15.75" customHeight="1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  <c r="AE504" s="96"/>
      <c r="AF504" s="96"/>
      <c r="AG504" s="96"/>
      <c r="AH504" s="97" t="s">
        <v>79</v>
      </c>
      <c r="AI504" s="97" t="s">
        <v>79</v>
      </c>
      <c r="AJ504" s="97" t="s">
        <v>79</v>
      </c>
      <c r="AK504" s="97" t="s">
        <v>79</v>
      </c>
    </row>
    <row r="505" ht="15.75" customHeight="1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  <c r="AE505" s="96"/>
      <c r="AF505" s="96"/>
      <c r="AG505" s="96"/>
      <c r="AH505" s="97" t="s">
        <v>79</v>
      </c>
      <c r="AI505" s="97" t="s">
        <v>79</v>
      </c>
      <c r="AJ505" s="97" t="s">
        <v>79</v>
      </c>
      <c r="AK505" s="97" t="s">
        <v>79</v>
      </c>
    </row>
    <row r="506" ht="15.75" customHeight="1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  <c r="AE506" s="96"/>
      <c r="AF506" s="96"/>
      <c r="AG506" s="96"/>
      <c r="AH506" s="97" t="s">
        <v>79</v>
      </c>
      <c r="AI506" s="97" t="s">
        <v>79</v>
      </c>
      <c r="AJ506" s="97" t="s">
        <v>79</v>
      </c>
      <c r="AK506" s="97" t="s">
        <v>79</v>
      </c>
    </row>
    <row r="507" ht="15.75" customHeight="1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  <c r="AG507" s="96"/>
      <c r="AH507" s="97" t="s">
        <v>79</v>
      </c>
      <c r="AI507" s="97" t="s">
        <v>79</v>
      </c>
      <c r="AJ507" s="97" t="s">
        <v>79</v>
      </c>
      <c r="AK507" s="97" t="s">
        <v>79</v>
      </c>
    </row>
    <row r="508" ht="15.75" customHeight="1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  <c r="AG508" s="96"/>
      <c r="AH508" s="97" t="s">
        <v>79</v>
      </c>
      <c r="AI508" s="97" t="s">
        <v>79</v>
      </c>
      <c r="AJ508" s="97" t="s">
        <v>79</v>
      </c>
      <c r="AK508" s="97" t="s">
        <v>79</v>
      </c>
    </row>
    <row r="509" ht="15.75" customHeight="1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  <c r="AG509" s="96"/>
      <c r="AH509" s="97" t="s">
        <v>79</v>
      </c>
      <c r="AI509" s="97" t="s">
        <v>79</v>
      </c>
      <c r="AJ509" s="97" t="s">
        <v>79</v>
      </c>
      <c r="AK509" s="97" t="s">
        <v>79</v>
      </c>
    </row>
    <row r="510" ht="15.75" customHeight="1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  <c r="AG510" s="96"/>
      <c r="AH510" s="97" t="s">
        <v>79</v>
      </c>
      <c r="AI510" s="97" t="s">
        <v>79</v>
      </c>
      <c r="AJ510" s="97" t="s">
        <v>79</v>
      </c>
      <c r="AK510" s="97" t="s">
        <v>79</v>
      </c>
    </row>
    <row r="511" ht="15.75" customHeight="1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  <c r="AG511" s="96"/>
      <c r="AH511" s="97" t="s">
        <v>79</v>
      </c>
      <c r="AI511" s="97" t="s">
        <v>79</v>
      </c>
      <c r="AJ511" s="97" t="s">
        <v>79</v>
      </c>
      <c r="AK511" s="97" t="s">
        <v>79</v>
      </c>
    </row>
    <row r="512" ht="15.75" customHeight="1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  <c r="AD512" s="96"/>
      <c r="AE512" s="96"/>
      <c r="AF512" s="96"/>
      <c r="AG512" s="96"/>
      <c r="AH512" s="97" t="s">
        <v>79</v>
      </c>
      <c r="AI512" s="97" t="s">
        <v>79</v>
      </c>
      <c r="AJ512" s="97" t="s">
        <v>79</v>
      </c>
      <c r="AK512" s="97" t="s">
        <v>79</v>
      </c>
    </row>
    <row r="513" ht="15.75" customHeight="1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  <c r="AD513" s="96"/>
      <c r="AE513" s="96"/>
      <c r="AF513" s="96"/>
      <c r="AG513" s="96"/>
      <c r="AH513" s="97" t="s">
        <v>79</v>
      </c>
      <c r="AI513" s="97" t="s">
        <v>79</v>
      </c>
      <c r="AJ513" s="97" t="s">
        <v>79</v>
      </c>
      <c r="AK513" s="97" t="s">
        <v>79</v>
      </c>
    </row>
    <row r="514" ht="15.75" customHeight="1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  <c r="AD514" s="96"/>
      <c r="AE514" s="96"/>
      <c r="AF514" s="96"/>
      <c r="AG514" s="96"/>
      <c r="AH514" s="97" t="s">
        <v>79</v>
      </c>
      <c r="AI514" s="97" t="s">
        <v>79</v>
      </c>
      <c r="AJ514" s="97" t="s">
        <v>79</v>
      </c>
      <c r="AK514" s="97" t="s">
        <v>79</v>
      </c>
    </row>
    <row r="515" ht="15.75" customHeight="1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  <c r="AD515" s="96"/>
      <c r="AE515" s="96"/>
      <c r="AF515" s="96"/>
      <c r="AG515" s="96"/>
      <c r="AH515" s="97" t="s">
        <v>79</v>
      </c>
      <c r="AI515" s="97" t="s">
        <v>79</v>
      </c>
      <c r="AJ515" s="97" t="s">
        <v>79</v>
      </c>
      <c r="AK515" s="97" t="s">
        <v>79</v>
      </c>
    </row>
    <row r="516" ht="15.75" customHeight="1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  <c r="AD516" s="96"/>
      <c r="AE516" s="96"/>
      <c r="AF516" s="96"/>
      <c r="AG516" s="96"/>
      <c r="AH516" s="97" t="s">
        <v>79</v>
      </c>
      <c r="AI516" s="97" t="s">
        <v>79</v>
      </c>
      <c r="AJ516" s="97" t="s">
        <v>79</v>
      </c>
      <c r="AK516" s="97" t="s">
        <v>79</v>
      </c>
    </row>
    <row r="517" ht="15.75" customHeight="1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  <c r="AD517" s="96"/>
      <c r="AE517" s="96"/>
      <c r="AF517" s="96"/>
      <c r="AG517" s="96"/>
      <c r="AH517" s="97" t="s">
        <v>79</v>
      </c>
      <c r="AI517" s="97" t="s">
        <v>79</v>
      </c>
      <c r="AJ517" s="97" t="s">
        <v>79</v>
      </c>
      <c r="AK517" s="97" t="s">
        <v>79</v>
      </c>
    </row>
    <row r="518" ht="15.75" customHeight="1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7" t="s">
        <v>79</v>
      </c>
      <c r="AI518" s="97" t="s">
        <v>79</v>
      </c>
      <c r="AJ518" s="97" t="s">
        <v>79</v>
      </c>
      <c r="AK518" s="97" t="s">
        <v>79</v>
      </c>
    </row>
    <row r="519" ht="15.75" customHeight="1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7" t="s">
        <v>79</v>
      </c>
      <c r="AI519" s="97" t="s">
        <v>79</v>
      </c>
      <c r="AJ519" s="97" t="s">
        <v>79</v>
      </c>
      <c r="AK519" s="97" t="s">
        <v>79</v>
      </c>
    </row>
    <row r="520" ht="15.75" customHeight="1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7" t="s">
        <v>79</v>
      </c>
      <c r="AI520" s="97" t="s">
        <v>79</v>
      </c>
      <c r="AJ520" s="97" t="s">
        <v>79</v>
      </c>
      <c r="AK520" s="97" t="s">
        <v>79</v>
      </c>
    </row>
    <row r="521" ht="15.75" customHeight="1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  <c r="AD521" s="96"/>
      <c r="AE521" s="96"/>
      <c r="AF521" s="96"/>
      <c r="AG521" s="96"/>
      <c r="AH521" s="97" t="s">
        <v>79</v>
      </c>
      <c r="AI521" s="97" t="s">
        <v>79</v>
      </c>
      <c r="AJ521" s="97" t="s">
        <v>79</v>
      </c>
      <c r="AK521" s="97" t="s">
        <v>79</v>
      </c>
    </row>
    <row r="522" ht="15.75" customHeight="1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  <c r="AD522" s="96"/>
      <c r="AE522" s="96"/>
      <c r="AF522" s="96"/>
      <c r="AG522" s="96"/>
      <c r="AH522" s="97" t="s">
        <v>79</v>
      </c>
      <c r="AI522" s="97" t="s">
        <v>79</v>
      </c>
      <c r="AJ522" s="97" t="s">
        <v>79</v>
      </c>
      <c r="AK522" s="97" t="s">
        <v>79</v>
      </c>
    </row>
    <row r="523" ht="15.75" customHeight="1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  <c r="AD523" s="96"/>
      <c r="AE523" s="96"/>
      <c r="AF523" s="96"/>
      <c r="AG523" s="96"/>
      <c r="AH523" s="97" t="s">
        <v>79</v>
      </c>
      <c r="AI523" s="97" t="s">
        <v>79</v>
      </c>
      <c r="AJ523" s="97" t="s">
        <v>79</v>
      </c>
      <c r="AK523" s="97" t="s">
        <v>79</v>
      </c>
    </row>
    <row r="524" ht="15.75" customHeight="1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  <c r="AD524" s="96"/>
      <c r="AE524" s="96"/>
      <c r="AF524" s="96"/>
      <c r="AG524" s="96"/>
      <c r="AH524" s="97" t="s">
        <v>79</v>
      </c>
      <c r="AI524" s="97" t="s">
        <v>79</v>
      </c>
      <c r="AJ524" s="97" t="s">
        <v>79</v>
      </c>
      <c r="AK524" s="97" t="s">
        <v>79</v>
      </c>
    </row>
    <row r="525" ht="15.75" customHeight="1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  <c r="AD525" s="96"/>
      <c r="AE525" s="96"/>
      <c r="AF525" s="96"/>
      <c r="AG525" s="96"/>
      <c r="AH525" s="97" t="s">
        <v>79</v>
      </c>
      <c r="AI525" s="97" t="s">
        <v>79</v>
      </c>
      <c r="AJ525" s="97" t="s">
        <v>79</v>
      </c>
      <c r="AK525" s="97" t="s">
        <v>79</v>
      </c>
    </row>
    <row r="526" ht="15.75" customHeight="1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  <c r="AD526" s="96"/>
      <c r="AE526" s="96"/>
      <c r="AF526" s="96"/>
      <c r="AG526" s="96"/>
      <c r="AH526" s="97" t="s">
        <v>79</v>
      </c>
      <c r="AI526" s="97" t="s">
        <v>79</v>
      </c>
      <c r="AJ526" s="97" t="s">
        <v>79</v>
      </c>
      <c r="AK526" s="97" t="s">
        <v>79</v>
      </c>
    </row>
    <row r="527" ht="15.75" customHeight="1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  <c r="AD527" s="96"/>
      <c r="AE527" s="96"/>
      <c r="AF527" s="96"/>
      <c r="AG527" s="96"/>
      <c r="AH527" s="97" t="s">
        <v>79</v>
      </c>
      <c r="AI527" s="97" t="s">
        <v>79</v>
      </c>
      <c r="AJ527" s="97" t="s">
        <v>79</v>
      </c>
      <c r="AK527" s="97" t="s">
        <v>79</v>
      </c>
    </row>
    <row r="528" ht="15.75" customHeight="1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  <c r="AD528" s="96"/>
      <c r="AE528" s="96"/>
      <c r="AF528" s="96"/>
      <c r="AG528" s="96"/>
      <c r="AH528" s="97" t="s">
        <v>79</v>
      </c>
      <c r="AI528" s="97" t="s">
        <v>79</v>
      </c>
      <c r="AJ528" s="97" t="s">
        <v>79</v>
      </c>
      <c r="AK528" s="97" t="s">
        <v>79</v>
      </c>
    </row>
    <row r="529" ht="15.75" customHeight="1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  <c r="AD529" s="96"/>
      <c r="AE529" s="96"/>
      <c r="AF529" s="96"/>
      <c r="AG529" s="96"/>
      <c r="AH529" s="97" t="s">
        <v>79</v>
      </c>
      <c r="AI529" s="97" t="s">
        <v>79</v>
      </c>
      <c r="AJ529" s="97" t="s">
        <v>79</v>
      </c>
      <c r="AK529" s="97" t="s">
        <v>79</v>
      </c>
    </row>
    <row r="530" ht="15.75" customHeight="1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  <c r="AH530" s="97" t="s">
        <v>79</v>
      </c>
      <c r="AI530" s="97" t="s">
        <v>79</v>
      </c>
      <c r="AJ530" s="97" t="s">
        <v>79</v>
      </c>
      <c r="AK530" s="97" t="s">
        <v>79</v>
      </c>
    </row>
    <row r="531" ht="15.75" customHeight="1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  <c r="AG531" s="96"/>
      <c r="AH531" s="97" t="s">
        <v>79</v>
      </c>
      <c r="AI531" s="97" t="s">
        <v>79</v>
      </c>
      <c r="AJ531" s="97" t="s">
        <v>79</v>
      </c>
      <c r="AK531" s="97" t="s">
        <v>79</v>
      </c>
    </row>
    <row r="532" ht="15.75" customHeight="1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  <c r="AD532" s="96"/>
      <c r="AE532" s="96"/>
      <c r="AF532" s="96"/>
      <c r="AG532" s="96"/>
      <c r="AH532" s="97" t="s">
        <v>79</v>
      </c>
      <c r="AI532" s="97" t="s">
        <v>79</v>
      </c>
      <c r="AJ532" s="97" t="s">
        <v>79</v>
      </c>
      <c r="AK532" s="97" t="s">
        <v>79</v>
      </c>
    </row>
    <row r="533" ht="15.75" customHeight="1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  <c r="AD533" s="96"/>
      <c r="AE533" s="96"/>
      <c r="AF533" s="96"/>
      <c r="AG533" s="96"/>
      <c r="AH533" s="97" t="s">
        <v>79</v>
      </c>
      <c r="AI533" s="97" t="s">
        <v>79</v>
      </c>
      <c r="AJ533" s="97" t="s">
        <v>79</v>
      </c>
      <c r="AK533" s="97" t="s">
        <v>79</v>
      </c>
    </row>
    <row r="534" ht="15.75" customHeight="1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  <c r="AD534" s="96"/>
      <c r="AE534" s="96"/>
      <c r="AF534" s="96"/>
      <c r="AG534" s="96"/>
      <c r="AH534" s="97" t="s">
        <v>79</v>
      </c>
      <c r="AI534" s="97" t="s">
        <v>79</v>
      </c>
      <c r="AJ534" s="97" t="s">
        <v>79</v>
      </c>
      <c r="AK534" s="97" t="s">
        <v>79</v>
      </c>
    </row>
    <row r="535" ht="15.75" customHeight="1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  <c r="AD535" s="96"/>
      <c r="AE535" s="96"/>
      <c r="AF535" s="96"/>
      <c r="AG535" s="96"/>
      <c r="AH535" s="97" t="s">
        <v>79</v>
      </c>
      <c r="AI535" s="97" t="s">
        <v>79</v>
      </c>
      <c r="AJ535" s="97" t="s">
        <v>79</v>
      </c>
      <c r="AK535" s="97" t="s">
        <v>79</v>
      </c>
    </row>
    <row r="536" ht="15.75" customHeight="1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  <c r="AD536" s="96"/>
      <c r="AE536" s="96"/>
      <c r="AF536" s="96"/>
      <c r="AG536" s="96"/>
      <c r="AH536" s="97" t="s">
        <v>79</v>
      </c>
      <c r="AI536" s="97" t="s">
        <v>79</v>
      </c>
      <c r="AJ536" s="97" t="s">
        <v>79</v>
      </c>
      <c r="AK536" s="97" t="s">
        <v>79</v>
      </c>
    </row>
    <row r="537" ht="15.75" customHeight="1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  <c r="AD537" s="96"/>
      <c r="AE537" s="96"/>
      <c r="AF537" s="96"/>
      <c r="AG537" s="96"/>
      <c r="AH537" s="97" t="s">
        <v>79</v>
      </c>
      <c r="AI537" s="97" t="s">
        <v>79</v>
      </c>
      <c r="AJ537" s="97" t="s">
        <v>79</v>
      </c>
      <c r="AK537" s="97" t="s">
        <v>79</v>
      </c>
    </row>
    <row r="538" ht="15.75" customHeight="1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  <c r="AD538" s="96"/>
      <c r="AE538" s="96"/>
      <c r="AF538" s="96"/>
      <c r="AG538" s="96"/>
      <c r="AH538" s="97" t="s">
        <v>79</v>
      </c>
      <c r="AI538" s="97" t="s">
        <v>79</v>
      </c>
      <c r="AJ538" s="97" t="s">
        <v>79</v>
      </c>
      <c r="AK538" s="97" t="s">
        <v>79</v>
      </c>
    </row>
    <row r="539" ht="15.75" customHeight="1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  <c r="AH539" s="97" t="s">
        <v>79</v>
      </c>
      <c r="AI539" s="97" t="s">
        <v>79</v>
      </c>
      <c r="AJ539" s="97" t="s">
        <v>79</v>
      </c>
      <c r="AK539" s="97" t="s">
        <v>79</v>
      </c>
    </row>
    <row r="540" ht="15.75" customHeight="1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  <c r="AD540" s="96"/>
      <c r="AE540" s="96"/>
      <c r="AF540" s="96"/>
      <c r="AG540" s="96"/>
      <c r="AH540" s="97" t="s">
        <v>79</v>
      </c>
      <c r="AI540" s="97" t="s">
        <v>79</v>
      </c>
      <c r="AJ540" s="97" t="s">
        <v>79</v>
      </c>
      <c r="AK540" s="97" t="s">
        <v>79</v>
      </c>
    </row>
    <row r="541" ht="15.75" customHeight="1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  <c r="AD541" s="96"/>
      <c r="AE541" s="96"/>
      <c r="AF541" s="96"/>
      <c r="AG541" s="96"/>
      <c r="AH541" s="97" t="s">
        <v>79</v>
      </c>
      <c r="AI541" s="97" t="s">
        <v>79</v>
      </c>
      <c r="AJ541" s="97" t="s">
        <v>79</v>
      </c>
      <c r="AK541" s="97" t="s">
        <v>79</v>
      </c>
    </row>
    <row r="542" ht="15.75" customHeight="1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  <c r="AD542" s="96"/>
      <c r="AE542" s="96"/>
      <c r="AF542" s="96"/>
      <c r="AG542" s="96"/>
      <c r="AH542" s="97" t="s">
        <v>79</v>
      </c>
      <c r="AI542" s="97" t="s">
        <v>79</v>
      </c>
      <c r="AJ542" s="97" t="s">
        <v>79</v>
      </c>
      <c r="AK542" s="97" t="s">
        <v>79</v>
      </c>
    </row>
    <row r="543" ht="15.75" customHeight="1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  <c r="AD543" s="96"/>
      <c r="AE543" s="96"/>
      <c r="AF543" s="96"/>
      <c r="AG543" s="96"/>
      <c r="AH543" s="97" t="s">
        <v>79</v>
      </c>
      <c r="AI543" s="97" t="s">
        <v>79</v>
      </c>
      <c r="AJ543" s="97" t="s">
        <v>79</v>
      </c>
      <c r="AK543" s="97" t="s">
        <v>79</v>
      </c>
    </row>
    <row r="544" ht="15.75" customHeight="1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  <c r="AD544" s="96"/>
      <c r="AE544" s="96"/>
      <c r="AF544" s="96"/>
      <c r="AG544" s="96"/>
      <c r="AH544" s="97" t="s">
        <v>79</v>
      </c>
      <c r="AI544" s="97" t="s">
        <v>79</v>
      </c>
      <c r="AJ544" s="97" t="s">
        <v>79</v>
      </c>
      <c r="AK544" s="97" t="s">
        <v>79</v>
      </c>
    </row>
    <row r="545" ht="15.75" customHeight="1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  <c r="AD545" s="96"/>
      <c r="AE545" s="96"/>
      <c r="AF545" s="96"/>
      <c r="AG545" s="96"/>
      <c r="AH545" s="97" t="s">
        <v>79</v>
      </c>
      <c r="AI545" s="97" t="s">
        <v>79</v>
      </c>
      <c r="AJ545" s="97" t="s">
        <v>79</v>
      </c>
      <c r="AK545" s="97" t="s">
        <v>79</v>
      </c>
    </row>
    <row r="546" ht="15.75" customHeight="1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  <c r="AD546" s="96"/>
      <c r="AE546" s="96"/>
      <c r="AF546" s="96"/>
      <c r="AG546" s="96"/>
      <c r="AH546" s="97" t="s">
        <v>79</v>
      </c>
      <c r="AI546" s="97" t="s">
        <v>79</v>
      </c>
      <c r="AJ546" s="97" t="s">
        <v>79</v>
      </c>
      <c r="AK546" s="97" t="s">
        <v>79</v>
      </c>
    </row>
    <row r="547" ht="15.75" customHeight="1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  <c r="AD547" s="96"/>
      <c r="AE547" s="96"/>
      <c r="AF547" s="96"/>
      <c r="AG547" s="96"/>
      <c r="AH547" s="97" t="s">
        <v>79</v>
      </c>
      <c r="AI547" s="97" t="s">
        <v>79</v>
      </c>
      <c r="AJ547" s="97" t="s">
        <v>79</v>
      </c>
      <c r="AK547" s="97" t="s">
        <v>79</v>
      </c>
    </row>
    <row r="548" ht="15.75" customHeight="1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  <c r="AD548" s="96"/>
      <c r="AE548" s="96"/>
      <c r="AF548" s="96"/>
      <c r="AG548" s="96"/>
      <c r="AH548" s="97" t="s">
        <v>79</v>
      </c>
      <c r="AI548" s="97" t="s">
        <v>79</v>
      </c>
      <c r="AJ548" s="97" t="s">
        <v>79</v>
      </c>
      <c r="AK548" s="97" t="s">
        <v>79</v>
      </c>
    </row>
    <row r="549" ht="15.75" customHeight="1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  <c r="AD549" s="96"/>
      <c r="AE549" s="96"/>
      <c r="AF549" s="96"/>
      <c r="AG549" s="96"/>
      <c r="AH549" s="97" t="s">
        <v>79</v>
      </c>
      <c r="AI549" s="97" t="s">
        <v>79</v>
      </c>
      <c r="AJ549" s="97" t="s">
        <v>79</v>
      </c>
      <c r="AK549" s="97" t="s">
        <v>79</v>
      </c>
    </row>
    <row r="550" ht="15.75" customHeight="1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  <c r="AD550" s="96"/>
      <c r="AE550" s="96"/>
      <c r="AF550" s="96"/>
      <c r="AG550" s="96"/>
      <c r="AH550" s="97" t="s">
        <v>79</v>
      </c>
      <c r="AI550" s="97" t="s">
        <v>79</v>
      </c>
      <c r="AJ550" s="97" t="s">
        <v>79</v>
      </c>
      <c r="AK550" s="97" t="s">
        <v>79</v>
      </c>
    </row>
    <row r="551" ht="15.75" customHeight="1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  <c r="AD551" s="96"/>
      <c r="AE551" s="96"/>
      <c r="AF551" s="96"/>
      <c r="AG551" s="96"/>
      <c r="AH551" s="97" t="s">
        <v>79</v>
      </c>
      <c r="AI551" s="97" t="s">
        <v>79</v>
      </c>
      <c r="AJ551" s="97" t="s">
        <v>79</v>
      </c>
      <c r="AK551" s="97" t="s">
        <v>79</v>
      </c>
    </row>
    <row r="552" ht="15.75" customHeight="1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  <c r="AD552" s="96"/>
      <c r="AE552" s="96"/>
      <c r="AF552" s="96"/>
      <c r="AG552" s="96"/>
      <c r="AH552" s="97" t="s">
        <v>79</v>
      </c>
      <c r="AI552" s="97" t="s">
        <v>79</v>
      </c>
      <c r="AJ552" s="97" t="s">
        <v>79</v>
      </c>
      <c r="AK552" s="97" t="s">
        <v>79</v>
      </c>
    </row>
    <row r="553" ht="15.75" customHeight="1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  <c r="AD553" s="96"/>
      <c r="AE553" s="96"/>
      <c r="AF553" s="96"/>
      <c r="AG553" s="96"/>
      <c r="AH553" s="97" t="s">
        <v>79</v>
      </c>
      <c r="AI553" s="97" t="s">
        <v>79</v>
      </c>
      <c r="AJ553" s="97" t="s">
        <v>79</v>
      </c>
      <c r="AK553" s="97" t="s">
        <v>79</v>
      </c>
    </row>
    <row r="554" ht="15.75" customHeight="1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  <c r="AD554" s="96"/>
      <c r="AE554" s="96"/>
      <c r="AF554" s="96"/>
      <c r="AG554" s="96"/>
      <c r="AH554" s="97" t="s">
        <v>79</v>
      </c>
      <c r="AI554" s="97" t="s">
        <v>79</v>
      </c>
      <c r="AJ554" s="97" t="s">
        <v>79</v>
      </c>
      <c r="AK554" s="97" t="s">
        <v>79</v>
      </c>
    </row>
    <row r="555" ht="15.75" customHeight="1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  <c r="AD555" s="96"/>
      <c r="AE555" s="96"/>
      <c r="AF555" s="96"/>
      <c r="AG555" s="96"/>
      <c r="AH555" s="97" t="s">
        <v>79</v>
      </c>
      <c r="AI555" s="97" t="s">
        <v>79</v>
      </c>
      <c r="AJ555" s="97" t="s">
        <v>79</v>
      </c>
      <c r="AK555" s="97" t="s">
        <v>79</v>
      </c>
    </row>
    <row r="556" ht="15.75" customHeight="1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  <c r="AD556" s="96"/>
      <c r="AE556" s="96"/>
      <c r="AF556" s="96"/>
      <c r="AG556" s="96"/>
      <c r="AH556" s="97" t="s">
        <v>79</v>
      </c>
      <c r="AI556" s="97" t="s">
        <v>79</v>
      </c>
      <c r="AJ556" s="97" t="s">
        <v>79</v>
      </c>
      <c r="AK556" s="97" t="s">
        <v>79</v>
      </c>
    </row>
    <row r="557" ht="15.75" customHeight="1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  <c r="AD557" s="96"/>
      <c r="AE557" s="96"/>
      <c r="AF557" s="96"/>
      <c r="AG557" s="96"/>
      <c r="AH557" s="97" t="s">
        <v>79</v>
      </c>
      <c r="AI557" s="97" t="s">
        <v>79</v>
      </c>
      <c r="AJ557" s="97" t="s">
        <v>79</v>
      </c>
      <c r="AK557" s="97" t="s">
        <v>79</v>
      </c>
    </row>
    <row r="558" ht="15.75" customHeight="1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  <c r="AD558" s="96"/>
      <c r="AE558" s="96"/>
      <c r="AF558" s="96"/>
      <c r="AG558" s="96"/>
      <c r="AH558" s="97" t="s">
        <v>79</v>
      </c>
      <c r="AI558" s="97" t="s">
        <v>79</v>
      </c>
      <c r="AJ558" s="97" t="s">
        <v>79</v>
      </c>
      <c r="AK558" s="97" t="s">
        <v>79</v>
      </c>
    </row>
    <row r="559" ht="15.75" customHeight="1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  <c r="AD559" s="96"/>
      <c r="AE559" s="96"/>
      <c r="AF559" s="96"/>
      <c r="AG559" s="96"/>
      <c r="AH559" s="97" t="s">
        <v>79</v>
      </c>
      <c r="AI559" s="97" t="s">
        <v>79</v>
      </c>
      <c r="AJ559" s="97" t="s">
        <v>79</v>
      </c>
      <c r="AK559" s="97" t="s">
        <v>79</v>
      </c>
    </row>
    <row r="560" ht="15.75" customHeight="1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  <c r="AD560" s="96"/>
      <c r="AE560" s="96"/>
      <c r="AF560" s="96"/>
      <c r="AG560" s="96"/>
      <c r="AH560" s="97" t="s">
        <v>79</v>
      </c>
      <c r="AI560" s="97" t="s">
        <v>79</v>
      </c>
      <c r="AJ560" s="97" t="s">
        <v>79</v>
      </c>
      <c r="AK560" s="97" t="s">
        <v>79</v>
      </c>
    </row>
    <row r="561" ht="15.75" customHeight="1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  <c r="AD561" s="96"/>
      <c r="AE561" s="96"/>
      <c r="AF561" s="96"/>
      <c r="AG561" s="96"/>
      <c r="AH561" s="97" t="s">
        <v>79</v>
      </c>
      <c r="AI561" s="97" t="s">
        <v>79</v>
      </c>
      <c r="AJ561" s="97" t="s">
        <v>79</v>
      </c>
      <c r="AK561" s="97" t="s">
        <v>79</v>
      </c>
    </row>
    <row r="562" ht="15.75" customHeight="1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  <c r="AD562" s="96"/>
      <c r="AE562" s="96"/>
      <c r="AF562" s="96"/>
      <c r="AG562" s="96"/>
      <c r="AH562" s="97" t="s">
        <v>79</v>
      </c>
      <c r="AI562" s="97" t="s">
        <v>79</v>
      </c>
      <c r="AJ562" s="97" t="s">
        <v>79</v>
      </c>
      <c r="AK562" s="97" t="s">
        <v>79</v>
      </c>
    </row>
    <row r="563" ht="15.75" customHeight="1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  <c r="AD563" s="96"/>
      <c r="AE563" s="96"/>
      <c r="AF563" s="96"/>
      <c r="AG563" s="96"/>
      <c r="AH563" s="97" t="s">
        <v>79</v>
      </c>
      <c r="AI563" s="97" t="s">
        <v>79</v>
      </c>
      <c r="AJ563" s="97" t="s">
        <v>79</v>
      </c>
      <c r="AK563" s="97" t="s">
        <v>79</v>
      </c>
    </row>
    <row r="564" ht="15.75" customHeight="1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  <c r="AG564" s="96"/>
      <c r="AH564" s="97" t="s">
        <v>79</v>
      </c>
      <c r="AI564" s="97" t="s">
        <v>79</v>
      </c>
      <c r="AJ564" s="97" t="s">
        <v>79</v>
      </c>
      <c r="AK564" s="97" t="s">
        <v>79</v>
      </c>
    </row>
    <row r="565" ht="15.75" customHeight="1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  <c r="AD565" s="96"/>
      <c r="AE565" s="96"/>
      <c r="AF565" s="96"/>
      <c r="AG565" s="96"/>
      <c r="AH565" s="97" t="s">
        <v>79</v>
      </c>
      <c r="AI565" s="97" t="s">
        <v>79</v>
      </c>
      <c r="AJ565" s="97" t="s">
        <v>79</v>
      </c>
      <c r="AK565" s="97" t="s">
        <v>79</v>
      </c>
    </row>
    <row r="566" ht="15.75" customHeight="1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  <c r="AD566" s="96"/>
      <c r="AE566" s="96"/>
      <c r="AF566" s="96"/>
      <c r="AG566" s="96"/>
      <c r="AH566" s="97" t="s">
        <v>79</v>
      </c>
      <c r="AI566" s="97" t="s">
        <v>79</v>
      </c>
      <c r="AJ566" s="97" t="s">
        <v>79</v>
      </c>
      <c r="AK566" s="97" t="s">
        <v>79</v>
      </c>
    </row>
    <row r="567" ht="15.75" customHeight="1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  <c r="AD567" s="96"/>
      <c r="AE567" s="96"/>
      <c r="AF567" s="96"/>
      <c r="AG567" s="96"/>
      <c r="AH567" s="97" t="s">
        <v>79</v>
      </c>
      <c r="AI567" s="97" t="s">
        <v>79</v>
      </c>
      <c r="AJ567" s="97" t="s">
        <v>79</v>
      </c>
      <c r="AK567" s="97" t="s">
        <v>79</v>
      </c>
    </row>
    <row r="568" ht="15.75" customHeight="1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  <c r="AD568" s="96"/>
      <c r="AE568" s="96"/>
      <c r="AF568" s="96"/>
      <c r="AG568" s="96"/>
      <c r="AH568" s="97" t="s">
        <v>79</v>
      </c>
      <c r="AI568" s="97" t="s">
        <v>79</v>
      </c>
      <c r="AJ568" s="97" t="s">
        <v>79</v>
      </c>
      <c r="AK568" s="97" t="s">
        <v>79</v>
      </c>
    </row>
    <row r="569" ht="15.75" customHeight="1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  <c r="AD569" s="96"/>
      <c r="AE569" s="96"/>
      <c r="AF569" s="96"/>
      <c r="AG569" s="96"/>
      <c r="AH569" s="97" t="s">
        <v>79</v>
      </c>
      <c r="AI569" s="97" t="s">
        <v>79</v>
      </c>
      <c r="AJ569" s="97" t="s">
        <v>79</v>
      </c>
      <c r="AK569" s="97" t="s">
        <v>79</v>
      </c>
    </row>
    <row r="570" ht="15.75" customHeight="1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  <c r="AD570" s="96"/>
      <c r="AE570" s="96"/>
      <c r="AF570" s="96"/>
      <c r="AG570" s="96"/>
      <c r="AH570" s="97" t="s">
        <v>79</v>
      </c>
      <c r="AI570" s="97" t="s">
        <v>79</v>
      </c>
      <c r="AJ570" s="97" t="s">
        <v>79</v>
      </c>
      <c r="AK570" s="97" t="s">
        <v>79</v>
      </c>
    </row>
    <row r="571" ht="15.75" customHeight="1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  <c r="AD571" s="96"/>
      <c r="AE571" s="96"/>
      <c r="AF571" s="96"/>
      <c r="AG571" s="96"/>
      <c r="AH571" s="97" t="s">
        <v>79</v>
      </c>
      <c r="AI571" s="97" t="s">
        <v>79</v>
      </c>
      <c r="AJ571" s="97" t="s">
        <v>79</v>
      </c>
      <c r="AK571" s="97" t="s">
        <v>79</v>
      </c>
    </row>
    <row r="572" ht="15.75" customHeight="1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  <c r="AD572" s="96"/>
      <c r="AE572" s="96"/>
      <c r="AF572" s="96"/>
      <c r="AG572" s="96"/>
      <c r="AH572" s="97" t="s">
        <v>79</v>
      </c>
      <c r="AI572" s="97" t="s">
        <v>79</v>
      </c>
      <c r="AJ572" s="97" t="s">
        <v>79</v>
      </c>
      <c r="AK572" s="97" t="s">
        <v>79</v>
      </c>
    </row>
    <row r="573" ht="15.75" customHeight="1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  <c r="AD573" s="96"/>
      <c r="AE573" s="96"/>
      <c r="AF573" s="96"/>
      <c r="AG573" s="96"/>
      <c r="AH573" s="97" t="s">
        <v>79</v>
      </c>
      <c r="AI573" s="97" t="s">
        <v>79</v>
      </c>
      <c r="AJ573" s="97" t="s">
        <v>79</v>
      </c>
      <c r="AK573" s="97" t="s">
        <v>79</v>
      </c>
    </row>
    <row r="574" ht="15.75" customHeight="1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  <c r="AD574" s="96"/>
      <c r="AE574" s="96"/>
      <c r="AF574" s="96"/>
      <c r="AG574" s="96"/>
      <c r="AH574" s="97" t="s">
        <v>79</v>
      </c>
      <c r="AI574" s="97" t="s">
        <v>79</v>
      </c>
      <c r="AJ574" s="97" t="s">
        <v>79</v>
      </c>
      <c r="AK574" s="97" t="s">
        <v>79</v>
      </c>
    </row>
    <row r="575" ht="15.75" customHeight="1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  <c r="AD575" s="96"/>
      <c r="AE575" s="96"/>
      <c r="AF575" s="96"/>
      <c r="AG575" s="96"/>
      <c r="AH575" s="97" t="s">
        <v>79</v>
      </c>
      <c r="AI575" s="97" t="s">
        <v>79</v>
      </c>
      <c r="AJ575" s="97" t="s">
        <v>79</v>
      </c>
      <c r="AK575" s="97" t="s">
        <v>79</v>
      </c>
    </row>
    <row r="576" ht="15.75" customHeight="1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  <c r="AH576" s="97" t="s">
        <v>79</v>
      </c>
      <c r="AI576" s="97" t="s">
        <v>79</v>
      </c>
      <c r="AJ576" s="97" t="s">
        <v>79</v>
      </c>
      <c r="AK576" s="97" t="s">
        <v>79</v>
      </c>
    </row>
    <row r="577" ht="15.75" customHeight="1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  <c r="AD577" s="96"/>
      <c r="AE577" s="96"/>
      <c r="AF577" s="96"/>
      <c r="AG577" s="96"/>
      <c r="AH577" s="97" t="s">
        <v>79</v>
      </c>
      <c r="AI577" s="97" t="s">
        <v>79</v>
      </c>
      <c r="AJ577" s="97" t="s">
        <v>79</v>
      </c>
      <c r="AK577" s="97" t="s">
        <v>79</v>
      </c>
    </row>
    <row r="578" ht="15.75" customHeight="1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  <c r="AD578" s="96"/>
      <c r="AE578" s="96"/>
      <c r="AF578" s="96"/>
      <c r="AG578" s="96"/>
      <c r="AH578" s="97" t="s">
        <v>79</v>
      </c>
      <c r="AI578" s="97" t="s">
        <v>79</v>
      </c>
      <c r="AJ578" s="97" t="s">
        <v>79</v>
      </c>
      <c r="AK578" s="97" t="s">
        <v>79</v>
      </c>
    </row>
    <row r="579" ht="15.75" customHeight="1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  <c r="AD579" s="96"/>
      <c r="AE579" s="96"/>
      <c r="AF579" s="96"/>
      <c r="AG579" s="96"/>
      <c r="AH579" s="97" t="s">
        <v>79</v>
      </c>
      <c r="AI579" s="97" t="s">
        <v>79</v>
      </c>
      <c r="AJ579" s="97" t="s">
        <v>79</v>
      </c>
      <c r="AK579" s="97" t="s">
        <v>79</v>
      </c>
    </row>
    <row r="580" ht="15.75" customHeight="1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  <c r="AD580" s="96"/>
      <c r="AE580" s="96"/>
      <c r="AF580" s="96"/>
      <c r="AG580" s="96"/>
      <c r="AH580" s="97" t="s">
        <v>79</v>
      </c>
      <c r="AI580" s="97" t="s">
        <v>79</v>
      </c>
      <c r="AJ580" s="97" t="s">
        <v>79</v>
      </c>
      <c r="AK580" s="97" t="s">
        <v>79</v>
      </c>
    </row>
    <row r="581" ht="15.75" customHeight="1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  <c r="AD581" s="96"/>
      <c r="AE581" s="96"/>
      <c r="AF581" s="96"/>
      <c r="AG581" s="96"/>
      <c r="AH581" s="97" t="s">
        <v>79</v>
      </c>
      <c r="AI581" s="97" t="s">
        <v>79</v>
      </c>
      <c r="AJ581" s="97" t="s">
        <v>79</v>
      </c>
      <c r="AK581" s="97" t="s">
        <v>79</v>
      </c>
    </row>
    <row r="582" ht="15.75" customHeight="1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  <c r="AD582" s="96"/>
      <c r="AE582" s="96"/>
      <c r="AF582" s="96"/>
      <c r="AG582" s="96"/>
      <c r="AH582" s="97" t="s">
        <v>79</v>
      </c>
      <c r="AI582" s="97" t="s">
        <v>79</v>
      </c>
      <c r="AJ582" s="97" t="s">
        <v>79</v>
      </c>
      <c r="AK582" s="97" t="s">
        <v>79</v>
      </c>
    </row>
    <row r="583" ht="15.75" customHeight="1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  <c r="AD583" s="96"/>
      <c r="AE583" s="96"/>
      <c r="AF583" s="96"/>
      <c r="AG583" s="96"/>
      <c r="AH583" s="97" t="s">
        <v>79</v>
      </c>
      <c r="AI583" s="97" t="s">
        <v>79</v>
      </c>
      <c r="AJ583" s="97" t="s">
        <v>79</v>
      </c>
      <c r="AK583" s="97" t="s">
        <v>79</v>
      </c>
    </row>
    <row r="584" ht="15.75" customHeight="1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  <c r="AD584" s="96"/>
      <c r="AE584" s="96"/>
      <c r="AF584" s="96"/>
      <c r="AG584" s="96"/>
      <c r="AH584" s="97" t="s">
        <v>79</v>
      </c>
      <c r="AI584" s="97" t="s">
        <v>79</v>
      </c>
      <c r="AJ584" s="97" t="s">
        <v>79</v>
      </c>
      <c r="AK584" s="97" t="s">
        <v>79</v>
      </c>
    </row>
    <row r="585" ht="15.75" customHeight="1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  <c r="AD585" s="96"/>
      <c r="AE585" s="96"/>
      <c r="AF585" s="96"/>
      <c r="AG585" s="96"/>
      <c r="AH585" s="97" t="s">
        <v>79</v>
      </c>
      <c r="AI585" s="97" t="s">
        <v>79</v>
      </c>
      <c r="AJ585" s="97" t="s">
        <v>79</v>
      </c>
      <c r="AK585" s="97" t="s">
        <v>79</v>
      </c>
    </row>
    <row r="586" ht="15.75" customHeight="1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  <c r="AD586" s="96"/>
      <c r="AE586" s="96"/>
      <c r="AF586" s="96"/>
      <c r="AG586" s="96"/>
      <c r="AH586" s="97" t="s">
        <v>79</v>
      </c>
      <c r="AI586" s="97" t="s">
        <v>79</v>
      </c>
      <c r="AJ586" s="97" t="s">
        <v>79</v>
      </c>
      <c r="AK586" s="97" t="s">
        <v>79</v>
      </c>
    </row>
    <row r="587" ht="15.75" customHeight="1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  <c r="AD587" s="96"/>
      <c r="AE587" s="96"/>
      <c r="AF587" s="96"/>
      <c r="AG587" s="96"/>
      <c r="AH587" s="97" t="s">
        <v>79</v>
      </c>
      <c r="AI587" s="97" t="s">
        <v>79</v>
      </c>
      <c r="AJ587" s="97" t="s">
        <v>79</v>
      </c>
      <c r="AK587" s="97" t="s">
        <v>79</v>
      </c>
    </row>
    <row r="588" ht="15.75" customHeight="1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  <c r="AD588" s="96"/>
      <c r="AE588" s="96"/>
      <c r="AF588" s="96"/>
      <c r="AG588" s="96"/>
      <c r="AH588" s="97" t="s">
        <v>79</v>
      </c>
      <c r="AI588" s="97" t="s">
        <v>79</v>
      </c>
      <c r="AJ588" s="97" t="s">
        <v>79</v>
      </c>
      <c r="AK588" s="97" t="s">
        <v>79</v>
      </c>
    </row>
    <row r="589" ht="15.75" customHeight="1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  <c r="AD589" s="96"/>
      <c r="AE589" s="96"/>
      <c r="AF589" s="96"/>
      <c r="AG589" s="96"/>
      <c r="AH589" s="97" t="s">
        <v>79</v>
      </c>
      <c r="AI589" s="97" t="s">
        <v>79</v>
      </c>
      <c r="AJ589" s="97" t="s">
        <v>79</v>
      </c>
      <c r="AK589" s="97" t="s">
        <v>79</v>
      </c>
    </row>
    <row r="590" ht="15.75" customHeight="1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  <c r="AD590" s="96"/>
      <c r="AE590" s="96"/>
      <c r="AF590" s="96"/>
      <c r="AG590" s="96"/>
      <c r="AH590" s="97" t="s">
        <v>79</v>
      </c>
      <c r="AI590" s="97" t="s">
        <v>79</v>
      </c>
      <c r="AJ590" s="97" t="s">
        <v>79</v>
      </c>
      <c r="AK590" s="97" t="s">
        <v>79</v>
      </c>
    </row>
    <row r="591" ht="15.75" customHeight="1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  <c r="AD591" s="96"/>
      <c r="AE591" s="96"/>
      <c r="AF591" s="96"/>
      <c r="AG591" s="96"/>
      <c r="AH591" s="97" t="s">
        <v>79</v>
      </c>
      <c r="AI591" s="97" t="s">
        <v>79</v>
      </c>
      <c r="AJ591" s="97" t="s">
        <v>79</v>
      </c>
      <c r="AK591" s="97" t="s">
        <v>79</v>
      </c>
    </row>
    <row r="592" ht="15.75" customHeight="1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  <c r="AD592" s="96"/>
      <c r="AE592" s="96"/>
      <c r="AF592" s="96"/>
      <c r="AG592" s="96"/>
      <c r="AH592" s="97" t="s">
        <v>79</v>
      </c>
      <c r="AI592" s="97" t="s">
        <v>79</v>
      </c>
      <c r="AJ592" s="97" t="s">
        <v>79</v>
      </c>
      <c r="AK592" s="97" t="s">
        <v>79</v>
      </c>
    </row>
    <row r="593" ht="15.75" customHeight="1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  <c r="AD593" s="96"/>
      <c r="AE593" s="96"/>
      <c r="AF593" s="96"/>
      <c r="AG593" s="96"/>
      <c r="AH593" s="97" t="s">
        <v>79</v>
      </c>
      <c r="AI593" s="97" t="s">
        <v>79</v>
      </c>
      <c r="AJ593" s="97" t="s">
        <v>79</v>
      </c>
      <c r="AK593" s="97" t="s">
        <v>79</v>
      </c>
    </row>
    <row r="594" ht="15.75" customHeight="1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  <c r="AD594" s="96"/>
      <c r="AE594" s="96"/>
      <c r="AF594" s="96"/>
      <c r="AG594" s="96"/>
      <c r="AH594" s="97" t="s">
        <v>79</v>
      </c>
      <c r="AI594" s="97" t="s">
        <v>79</v>
      </c>
      <c r="AJ594" s="97" t="s">
        <v>79</v>
      </c>
      <c r="AK594" s="97" t="s">
        <v>79</v>
      </c>
    </row>
    <row r="595" ht="15.75" customHeight="1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  <c r="AG595" s="96"/>
      <c r="AH595" s="97" t="s">
        <v>79</v>
      </c>
      <c r="AI595" s="97" t="s">
        <v>79</v>
      </c>
      <c r="AJ595" s="97" t="s">
        <v>79</v>
      </c>
      <c r="AK595" s="97" t="s">
        <v>79</v>
      </c>
    </row>
    <row r="596" ht="15.75" customHeight="1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  <c r="AD596" s="96"/>
      <c r="AE596" s="96"/>
      <c r="AF596" s="96"/>
      <c r="AG596" s="96"/>
      <c r="AH596" s="97" t="s">
        <v>79</v>
      </c>
      <c r="AI596" s="97" t="s">
        <v>79</v>
      </c>
      <c r="AJ596" s="97" t="s">
        <v>79</v>
      </c>
      <c r="AK596" s="97" t="s">
        <v>79</v>
      </c>
    </row>
    <row r="597" ht="15.75" customHeight="1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/>
      <c r="AH597" s="97" t="s">
        <v>79</v>
      </c>
      <c r="AI597" s="97" t="s">
        <v>79</v>
      </c>
      <c r="AJ597" s="97" t="s">
        <v>79</v>
      </c>
      <c r="AK597" s="97" t="s">
        <v>79</v>
      </c>
    </row>
    <row r="598" ht="15.75" customHeight="1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  <c r="AH598" s="97" t="s">
        <v>79</v>
      </c>
      <c r="AI598" s="97" t="s">
        <v>79</v>
      </c>
      <c r="AJ598" s="97" t="s">
        <v>79</v>
      </c>
      <c r="AK598" s="97" t="s">
        <v>79</v>
      </c>
    </row>
    <row r="599" ht="15.75" customHeight="1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  <c r="AG599" s="96"/>
      <c r="AH599" s="97" t="s">
        <v>79</v>
      </c>
      <c r="AI599" s="97" t="s">
        <v>79</v>
      </c>
      <c r="AJ599" s="97" t="s">
        <v>79</v>
      </c>
      <c r="AK599" s="97" t="s">
        <v>79</v>
      </c>
    </row>
    <row r="600" ht="15.75" customHeight="1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  <c r="AD600" s="96"/>
      <c r="AE600" s="96"/>
      <c r="AF600" s="96"/>
      <c r="AG600" s="96"/>
      <c r="AH600" s="97" t="s">
        <v>79</v>
      </c>
      <c r="AI600" s="97" t="s">
        <v>79</v>
      </c>
      <c r="AJ600" s="97" t="s">
        <v>79</v>
      </c>
      <c r="AK600" s="97" t="s">
        <v>79</v>
      </c>
    </row>
    <row r="601" ht="15.75" customHeight="1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  <c r="AD601" s="96"/>
      <c r="AE601" s="96"/>
      <c r="AF601" s="96"/>
      <c r="AG601" s="96"/>
      <c r="AH601" s="97" t="s">
        <v>79</v>
      </c>
      <c r="AI601" s="97" t="s">
        <v>79</v>
      </c>
      <c r="AJ601" s="97" t="s">
        <v>79</v>
      </c>
      <c r="AK601" s="97" t="s">
        <v>79</v>
      </c>
    </row>
    <row r="602" ht="15.75" customHeight="1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  <c r="AD602" s="96"/>
      <c r="AE602" s="96"/>
      <c r="AF602" s="96"/>
      <c r="AG602" s="96"/>
      <c r="AH602" s="97" t="s">
        <v>79</v>
      </c>
      <c r="AI602" s="97" t="s">
        <v>79</v>
      </c>
      <c r="AJ602" s="97" t="s">
        <v>79</v>
      </c>
      <c r="AK602" s="97" t="s">
        <v>79</v>
      </c>
    </row>
    <row r="603" ht="15.75" customHeight="1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  <c r="AD603" s="96"/>
      <c r="AE603" s="96"/>
      <c r="AF603" s="96"/>
      <c r="AG603" s="96"/>
      <c r="AH603" s="97" t="s">
        <v>79</v>
      </c>
      <c r="AI603" s="97" t="s">
        <v>79</v>
      </c>
      <c r="AJ603" s="97" t="s">
        <v>79</v>
      </c>
      <c r="AK603" s="97" t="s">
        <v>79</v>
      </c>
    </row>
    <row r="604" ht="15.75" customHeight="1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  <c r="AD604" s="96"/>
      <c r="AE604" s="96"/>
      <c r="AF604" s="96"/>
      <c r="AG604" s="96"/>
      <c r="AH604" s="97" t="s">
        <v>79</v>
      </c>
      <c r="AI604" s="97" t="s">
        <v>79</v>
      </c>
      <c r="AJ604" s="97" t="s">
        <v>79</v>
      </c>
      <c r="AK604" s="97" t="s">
        <v>79</v>
      </c>
    </row>
    <row r="605" ht="15.75" customHeight="1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  <c r="AD605" s="96"/>
      <c r="AE605" s="96"/>
      <c r="AF605" s="96"/>
      <c r="AG605" s="96"/>
      <c r="AH605" s="97" t="s">
        <v>79</v>
      </c>
      <c r="AI605" s="97" t="s">
        <v>79</v>
      </c>
      <c r="AJ605" s="97" t="s">
        <v>79</v>
      </c>
      <c r="AK605" s="97" t="s">
        <v>79</v>
      </c>
    </row>
    <row r="606" ht="15.75" customHeight="1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  <c r="AD606" s="96"/>
      <c r="AE606" s="96"/>
      <c r="AF606" s="96"/>
      <c r="AG606" s="96"/>
      <c r="AH606" s="97" t="s">
        <v>79</v>
      </c>
      <c r="AI606" s="97" t="s">
        <v>79</v>
      </c>
      <c r="AJ606" s="97" t="s">
        <v>79</v>
      </c>
      <c r="AK606" s="97" t="s">
        <v>79</v>
      </c>
    </row>
    <row r="607" ht="15.75" customHeight="1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  <c r="AH607" s="97" t="s">
        <v>79</v>
      </c>
      <c r="AI607" s="97" t="s">
        <v>79</v>
      </c>
      <c r="AJ607" s="97" t="s">
        <v>79</v>
      </c>
      <c r="AK607" s="97" t="s">
        <v>79</v>
      </c>
    </row>
    <row r="608" ht="15.75" customHeight="1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  <c r="AH608" s="97" t="s">
        <v>79</v>
      </c>
      <c r="AI608" s="97" t="s">
        <v>79</v>
      </c>
      <c r="AJ608" s="97" t="s">
        <v>79</v>
      </c>
      <c r="AK608" s="97" t="s">
        <v>79</v>
      </c>
    </row>
    <row r="609" ht="15.75" customHeight="1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  <c r="AG609" s="96"/>
      <c r="AH609" s="97" t="s">
        <v>79</v>
      </c>
      <c r="AI609" s="97" t="s">
        <v>79</v>
      </c>
      <c r="AJ609" s="97" t="s">
        <v>79</v>
      </c>
      <c r="AK609" s="97" t="s">
        <v>79</v>
      </c>
    </row>
    <row r="610" ht="15.75" customHeight="1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  <c r="AD610" s="96"/>
      <c r="AE610" s="96"/>
      <c r="AF610" s="96"/>
      <c r="AG610" s="96"/>
      <c r="AH610" s="97" t="s">
        <v>79</v>
      </c>
      <c r="AI610" s="97" t="s">
        <v>79</v>
      </c>
      <c r="AJ610" s="97" t="s">
        <v>79</v>
      </c>
      <c r="AK610" s="97" t="s">
        <v>79</v>
      </c>
    </row>
    <row r="611" ht="15.75" customHeight="1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  <c r="AD611" s="96"/>
      <c r="AE611" s="96"/>
      <c r="AF611" s="96"/>
      <c r="AG611" s="96"/>
      <c r="AH611" s="97" t="s">
        <v>79</v>
      </c>
      <c r="AI611" s="97" t="s">
        <v>79</v>
      </c>
      <c r="AJ611" s="97" t="s">
        <v>79</v>
      </c>
      <c r="AK611" s="97" t="s">
        <v>79</v>
      </c>
    </row>
    <row r="612" ht="15.75" customHeight="1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  <c r="AD612" s="96"/>
      <c r="AE612" s="96"/>
      <c r="AF612" s="96"/>
      <c r="AG612" s="96"/>
      <c r="AH612" s="97" t="s">
        <v>79</v>
      </c>
      <c r="AI612" s="97" t="s">
        <v>79</v>
      </c>
      <c r="AJ612" s="97" t="s">
        <v>79</v>
      </c>
      <c r="AK612" s="97" t="s">
        <v>79</v>
      </c>
    </row>
    <row r="613" ht="15.75" customHeight="1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  <c r="AD613" s="96"/>
      <c r="AE613" s="96"/>
      <c r="AF613" s="96"/>
      <c r="AG613" s="96"/>
      <c r="AH613" s="97" t="s">
        <v>79</v>
      </c>
      <c r="AI613" s="97" t="s">
        <v>79</v>
      </c>
      <c r="AJ613" s="97" t="s">
        <v>79</v>
      </c>
      <c r="AK613" s="97" t="s">
        <v>79</v>
      </c>
    </row>
    <row r="614" ht="15.75" customHeight="1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  <c r="AD614" s="96"/>
      <c r="AE614" s="96"/>
      <c r="AF614" s="96"/>
      <c r="AG614" s="96"/>
      <c r="AH614" s="97" t="s">
        <v>79</v>
      </c>
      <c r="AI614" s="97" t="s">
        <v>79</v>
      </c>
      <c r="AJ614" s="97" t="s">
        <v>79</v>
      </c>
      <c r="AK614" s="97" t="s">
        <v>79</v>
      </c>
    </row>
    <row r="615" ht="15.75" customHeight="1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  <c r="AD615" s="96"/>
      <c r="AE615" s="96"/>
      <c r="AF615" s="96"/>
      <c r="AG615" s="96"/>
      <c r="AH615" s="97" t="s">
        <v>79</v>
      </c>
      <c r="AI615" s="97" t="s">
        <v>79</v>
      </c>
      <c r="AJ615" s="97" t="s">
        <v>79</v>
      </c>
      <c r="AK615" s="97" t="s">
        <v>79</v>
      </c>
    </row>
    <row r="616" ht="15.75" customHeight="1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  <c r="AD616" s="96"/>
      <c r="AE616" s="96"/>
      <c r="AF616" s="96"/>
      <c r="AG616" s="96"/>
      <c r="AH616" s="97" t="s">
        <v>79</v>
      </c>
      <c r="AI616" s="97" t="s">
        <v>79</v>
      </c>
      <c r="AJ616" s="97" t="s">
        <v>79</v>
      </c>
      <c r="AK616" s="97" t="s">
        <v>79</v>
      </c>
    </row>
    <row r="617" ht="15.75" customHeight="1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  <c r="AD617" s="96"/>
      <c r="AE617" s="96"/>
      <c r="AF617" s="96"/>
      <c r="AG617" s="96"/>
      <c r="AH617" s="97" t="s">
        <v>79</v>
      </c>
      <c r="AI617" s="97" t="s">
        <v>79</v>
      </c>
      <c r="AJ617" s="97" t="s">
        <v>79</v>
      </c>
      <c r="AK617" s="97" t="s">
        <v>79</v>
      </c>
    </row>
    <row r="618" ht="15.75" customHeight="1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  <c r="AD618" s="96"/>
      <c r="AE618" s="96"/>
      <c r="AF618" s="96"/>
      <c r="AG618" s="96"/>
      <c r="AH618" s="97" t="s">
        <v>79</v>
      </c>
      <c r="AI618" s="97" t="s">
        <v>79</v>
      </c>
      <c r="AJ618" s="97" t="s">
        <v>79</v>
      </c>
      <c r="AK618" s="97" t="s">
        <v>79</v>
      </c>
    </row>
    <row r="619" ht="15.75" customHeight="1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  <c r="AD619" s="96"/>
      <c r="AE619" s="96"/>
      <c r="AF619" s="96"/>
      <c r="AG619" s="96"/>
      <c r="AH619" s="97" t="s">
        <v>79</v>
      </c>
      <c r="AI619" s="97" t="s">
        <v>79</v>
      </c>
      <c r="AJ619" s="97" t="s">
        <v>79</v>
      </c>
      <c r="AK619" s="97" t="s">
        <v>79</v>
      </c>
    </row>
    <row r="620" ht="15.75" customHeight="1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  <c r="AD620" s="96"/>
      <c r="AE620" s="96"/>
      <c r="AF620" s="96"/>
      <c r="AG620" s="96"/>
      <c r="AH620" s="97" t="s">
        <v>79</v>
      </c>
      <c r="AI620" s="97" t="s">
        <v>79</v>
      </c>
      <c r="AJ620" s="97" t="s">
        <v>79</v>
      </c>
      <c r="AK620" s="97" t="s">
        <v>79</v>
      </c>
    </row>
    <row r="621" ht="15.75" customHeight="1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  <c r="AD621" s="96"/>
      <c r="AE621" s="96"/>
      <c r="AF621" s="96"/>
      <c r="AG621" s="96"/>
      <c r="AH621" s="97" t="s">
        <v>79</v>
      </c>
      <c r="AI621" s="97" t="s">
        <v>79</v>
      </c>
      <c r="AJ621" s="97" t="s">
        <v>79</v>
      </c>
      <c r="AK621" s="97" t="s">
        <v>79</v>
      </c>
    </row>
    <row r="622" ht="15.75" customHeight="1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  <c r="AD622" s="96"/>
      <c r="AE622" s="96"/>
      <c r="AF622" s="96"/>
      <c r="AG622" s="96"/>
      <c r="AH622" s="97" t="s">
        <v>79</v>
      </c>
      <c r="AI622" s="97" t="s">
        <v>79</v>
      </c>
      <c r="AJ622" s="97" t="s">
        <v>79</v>
      </c>
      <c r="AK622" s="97" t="s">
        <v>79</v>
      </c>
    </row>
    <row r="623" ht="15.75" customHeight="1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  <c r="AD623" s="96"/>
      <c r="AE623" s="96"/>
      <c r="AF623" s="96"/>
      <c r="AG623" s="96"/>
      <c r="AH623" s="97" t="s">
        <v>79</v>
      </c>
      <c r="AI623" s="97" t="s">
        <v>79</v>
      </c>
      <c r="AJ623" s="97" t="s">
        <v>79</v>
      </c>
      <c r="AK623" s="97" t="s">
        <v>79</v>
      </c>
    </row>
    <row r="624" ht="15.75" customHeight="1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  <c r="AD624" s="96"/>
      <c r="AE624" s="96"/>
      <c r="AF624" s="96"/>
      <c r="AG624" s="96"/>
      <c r="AH624" s="97" t="s">
        <v>79</v>
      </c>
      <c r="AI624" s="97" t="s">
        <v>79</v>
      </c>
      <c r="AJ624" s="97" t="s">
        <v>79</v>
      </c>
      <c r="AK624" s="97" t="s">
        <v>79</v>
      </c>
    </row>
    <row r="625" ht="15.75" customHeight="1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  <c r="AD625" s="96"/>
      <c r="AE625" s="96"/>
      <c r="AF625" s="96"/>
      <c r="AG625" s="96"/>
      <c r="AH625" s="97" t="s">
        <v>79</v>
      </c>
      <c r="AI625" s="97" t="s">
        <v>79</v>
      </c>
      <c r="AJ625" s="97" t="s">
        <v>79</v>
      </c>
      <c r="AK625" s="97" t="s">
        <v>79</v>
      </c>
    </row>
    <row r="626" ht="15.75" customHeight="1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  <c r="AD626" s="96"/>
      <c r="AE626" s="96"/>
      <c r="AF626" s="96"/>
      <c r="AG626" s="96"/>
      <c r="AH626" s="97" t="s">
        <v>79</v>
      </c>
      <c r="AI626" s="97" t="s">
        <v>79</v>
      </c>
      <c r="AJ626" s="97" t="s">
        <v>79</v>
      </c>
      <c r="AK626" s="97" t="s">
        <v>79</v>
      </c>
    </row>
    <row r="627" ht="15.75" customHeight="1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  <c r="AD627" s="96"/>
      <c r="AE627" s="96"/>
      <c r="AF627" s="96"/>
      <c r="AG627" s="96"/>
      <c r="AH627" s="97" t="s">
        <v>79</v>
      </c>
      <c r="AI627" s="97" t="s">
        <v>79</v>
      </c>
      <c r="AJ627" s="97" t="s">
        <v>79</v>
      </c>
      <c r="AK627" s="97" t="s">
        <v>79</v>
      </c>
    </row>
    <row r="628" ht="15.75" customHeight="1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  <c r="AD628" s="96"/>
      <c r="AE628" s="96"/>
      <c r="AF628" s="96"/>
      <c r="AG628" s="96"/>
      <c r="AH628" s="97" t="s">
        <v>79</v>
      </c>
      <c r="AI628" s="97" t="s">
        <v>79</v>
      </c>
      <c r="AJ628" s="97" t="s">
        <v>79</v>
      </c>
      <c r="AK628" s="97" t="s">
        <v>79</v>
      </c>
    </row>
    <row r="629" ht="15.75" customHeight="1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  <c r="AD629" s="96"/>
      <c r="AE629" s="96"/>
      <c r="AF629" s="96"/>
      <c r="AG629" s="96"/>
      <c r="AH629" s="97" t="s">
        <v>79</v>
      </c>
      <c r="AI629" s="97" t="s">
        <v>79</v>
      </c>
      <c r="AJ629" s="97" t="s">
        <v>79</v>
      </c>
      <c r="AK629" s="97" t="s">
        <v>79</v>
      </c>
    </row>
    <row r="630" ht="15.75" customHeight="1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  <c r="AD630" s="96"/>
      <c r="AE630" s="96"/>
      <c r="AF630" s="96"/>
      <c r="AG630" s="96"/>
      <c r="AH630" s="97" t="s">
        <v>79</v>
      </c>
      <c r="AI630" s="97" t="s">
        <v>79</v>
      </c>
      <c r="AJ630" s="97" t="s">
        <v>79</v>
      </c>
      <c r="AK630" s="97" t="s">
        <v>79</v>
      </c>
    </row>
    <row r="631" ht="15.75" customHeight="1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  <c r="AD631" s="96"/>
      <c r="AE631" s="96"/>
      <c r="AF631" s="96"/>
      <c r="AG631" s="96"/>
      <c r="AH631" s="97" t="s">
        <v>79</v>
      </c>
      <c r="AI631" s="97" t="s">
        <v>79</v>
      </c>
      <c r="AJ631" s="97" t="s">
        <v>79</v>
      </c>
      <c r="AK631" s="97" t="s">
        <v>79</v>
      </c>
    </row>
    <row r="632" ht="15.75" customHeight="1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  <c r="AD632" s="96"/>
      <c r="AE632" s="96"/>
      <c r="AF632" s="96"/>
      <c r="AG632" s="96"/>
      <c r="AH632" s="97" t="s">
        <v>79</v>
      </c>
      <c r="AI632" s="97" t="s">
        <v>79</v>
      </c>
      <c r="AJ632" s="97" t="s">
        <v>79</v>
      </c>
      <c r="AK632" s="97" t="s">
        <v>79</v>
      </c>
    </row>
    <row r="633" ht="15.75" customHeight="1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  <c r="AD633" s="96"/>
      <c r="AE633" s="96"/>
      <c r="AF633" s="96"/>
      <c r="AG633" s="96"/>
      <c r="AH633" s="97" t="s">
        <v>79</v>
      </c>
      <c r="AI633" s="97" t="s">
        <v>79</v>
      </c>
      <c r="AJ633" s="97" t="s">
        <v>79</v>
      </c>
      <c r="AK633" s="97" t="s">
        <v>79</v>
      </c>
    </row>
    <row r="634" ht="15.75" customHeight="1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  <c r="AD634" s="96"/>
      <c r="AE634" s="96"/>
      <c r="AF634" s="96"/>
      <c r="AG634" s="96"/>
      <c r="AH634" s="97" t="s">
        <v>79</v>
      </c>
      <c r="AI634" s="97" t="s">
        <v>79</v>
      </c>
      <c r="AJ634" s="97" t="s">
        <v>79</v>
      </c>
      <c r="AK634" s="97" t="s">
        <v>79</v>
      </c>
    </row>
    <row r="635" ht="15.75" customHeight="1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  <c r="AD635" s="96"/>
      <c r="AE635" s="96"/>
      <c r="AF635" s="96"/>
      <c r="AG635" s="96"/>
      <c r="AH635" s="97" t="s">
        <v>79</v>
      </c>
      <c r="AI635" s="97" t="s">
        <v>79</v>
      </c>
      <c r="AJ635" s="97" t="s">
        <v>79</v>
      </c>
      <c r="AK635" s="97" t="s">
        <v>79</v>
      </c>
    </row>
    <row r="636" ht="15.75" customHeight="1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  <c r="AD636" s="96"/>
      <c r="AE636" s="96"/>
      <c r="AF636" s="96"/>
      <c r="AG636" s="96"/>
      <c r="AH636" s="97" t="s">
        <v>79</v>
      </c>
      <c r="AI636" s="97" t="s">
        <v>79</v>
      </c>
      <c r="AJ636" s="97" t="s">
        <v>79</v>
      </c>
      <c r="AK636" s="97" t="s">
        <v>79</v>
      </c>
    </row>
    <row r="637" ht="15.75" customHeight="1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  <c r="AD637" s="96"/>
      <c r="AE637" s="96"/>
      <c r="AF637" s="96"/>
      <c r="AG637" s="96"/>
      <c r="AH637" s="97" t="s">
        <v>79</v>
      </c>
      <c r="AI637" s="97" t="s">
        <v>79</v>
      </c>
      <c r="AJ637" s="97" t="s">
        <v>79</v>
      </c>
      <c r="AK637" s="97" t="s">
        <v>79</v>
      </c>
    </row>
    <row r="638" ht="15.75" customHeight="1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  <c r="AD638" s="96"/>
      <c r="AE638" s="96"/>
      <c r="AF638" s="96"/>
      <c r="AG638" s="96"/>
      <c r="AH638" s="97" t="s">
        <v>79</v>
      </c>
      <c r="AI638" s="97" t="s">
        <v>79</v>
      </c>
      <c r="AJ638" s="97" t="s">
        <v>79</v>
      </c>
      <c r="AK638" s="97" t="s">
        <v>79</v>
      </c>
    </row>
    <row r="639" ht="15.75" customHeight="1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  <c r="AD639" s="96"/>
      <c r="AE639" s="96"/>
      <c r="AF639" s="96"/>
      <c r="AG639" s="96"/>
      <c r="AH639" s="97" t="s">
        <v>79</v>
      </c>
      <c r="AI639" s="97" t="s">
        <v>79</v>
      </c>
      <c r="AJ639" s="97" t="s">
        <v>79</v>
      </c>
      <c r="AK639" s="97" t="s">
        <v>79</v>
      </c>
    </row>
    <row r="640" ht="15.75" customHeight="1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  <c r="AD640" s="96"/>
      <c r="AE640" s="96"/>
      <c r="AF640" s="96"/>
      <c r="AG640" s="96"/>
      <c r="AH640" s="97" t="s">
        <v>79</v>
      </c>
      <c r="AI640" s="97" t="s">
        <v>79</v>
      </c>
      <c r="AJ640" s="97" t="s">
        <v>79</v>
      </c>
      <c r="AK640" s="97" t="s">
        <v>79</v>
      </c>
    </row>
    <row r="641" ht="15.75" customHeight="1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  <c r="AD641" s="96"/>
      <c r="AE641" s="96"/>
      <c r="AF641" s="96"/>
      <c r="AG641" s="96"/>
      <c r="AH641" s="97" t="s">
        <v>79</v>
      </c>
      <c r="AI641" s="97" t="s">
        <v>79</v>
      </c>
      <c r="AJ641" s="97" t="s">
        <v>79</v>
      </c>
      <c r="AK641" s="97" t="s">
        <v>79</v>
      </c>
    </row>
    <row r="642" ht="15.75" customHeight="1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  <c r="AD642" s="96"/>
      <c r="AE642" s="96"/>
      <c r="AF642" s="96"/>
      <c r="AG642" s="96"/>
      <c r="AH642" s="97" t="s">
        <v>79</v>
      </c>
      <c r="AI642" s="97" t="s">
        <v>79</v>
      </c>
      <c r="AJ642" s="97" t="s">
        <v>79</v>
      </c>
      <c r="AK642" s="97" t="s">
        <v>79</v>
      </c>
    </row>
    <row r="643" ht="15.75" customHeight="1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  <c r="AD643" s="96"/>
      <c r="AE643" s="96"/>
      <c r="AF643" s="96"/>
      <c r="AG643" s="96"/>
      <c r="AH643" s="97" t="s">
        <v>79</v>
      </c>
      <c r="AI643" s="97" t="s">
        <v>79</v>
      </c>
      <c r="AJ643" s="97" t="s">
        <v>79</v>
      </c>
      <c r="AK643" s="97" t="s">
        <v>79</v>
      </c>
    </row>
    <row r="644" ht="15.75" customHeight="1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  <c r="AD644" s="96"/>
      <c r="AE644" s="96"/>
      <c r="AF644" s="96"/>
      <c r="AG644" s="96"/>
      <c r="AH644" s="97" t="s">
        <v>79</v>
      </c>
      <c r="AI644" s="97" t="s">
        <v>79</v>
      </c>
      <c r="AJ644" s="97" t="s">
        <v>79</v>
      </c>
      <c r="AK644" s="97" t="s">
        <v>79</v>
      </c>
    </row>
    <row r="645" ht="15.75" customHeight="1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  <c r="AD645" s="96"/>
      <c r="AE645" s="96"/>
      <c r="AF645" s="96"/>
      <c r="AG645" s="96"/>
      <c r="AH645" s="97" t="s">
        <v>79</v>
      </c>
      <c r="AI645" s="97" t="s">
        <v>79</v>
      </c>
      <c r="AJ645" s="97" t="s">
        <v>79</v>
      </c>
      <c r="AK645" s="97" t="s">
        <v>79</v>
      </c>
    </row>
    <row r="646" ht="15.75" customHeight="1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  <c r="AD646" s="96"/>
      <c r="AE646" s="96"/>
      <c r="AF646" s="96"/>
      <c r="AG646" s="96"/>
      <c r="AH646" s="97" t="s">
        <v>79</v>
      </c>
      <c r="AI646" s="97" t="s">
        <v>79</v>
      </c>
      <c r="AJ646" s="97" t="s">
        <v>79</v>
      </c>
      <c r="AK646" s="97" t="s">
        <v>79</v>
      </c>
    </row>
    <row r="647" ht="15.75" customHeight="1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  <c r="AD647" s="96"/>
      <c r="AE647" s="96"/>
      <c r="AF647" s="96"/>
      <c r="AG647" s="96"/>
      <c r="AH647" s="97" t="s">
        <v>79</v>
      </c>
      <c r="AI647" s="97" t="s">
        <v>79</v>
      </c>
      <c r="AJ647" s="97" t="s">
        <v>79</v>
      </c>
      <c r="AK647" s="97" t="s">
        <v>79</v>
      </c>
    </row>
    <row r="648" ht="15.75" customHeight="1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  <c r="AD648" s="96"/>
      <c r="AE648" s="96"/>
      <c r="AF648" s="96"/>
      <c r="AG648" s="96"/>
      <c r="AH648" s="97" t="s">
        <v>79</v>
      </c>
      <c r="AI648" s="97" t="s">
        <v>79</v>
      </c>
      <c r="AJ648" s="97" t="s">
        <v>79</v>
      </c>
      <c r="AK648" s="97" t="s">
        <v>79</v>
      </c>
    </row>
    <row r="649" ht="15.75" customHeight="1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  <c r="AD649" s="96"/>
      <c r="AE649" s="96"/>
      <c r="AF649" s="96"/>
      <c r="AG649" s="96"/>
      <c r="AH649" s="97" t="s">
        <v>79</v>
      </c>
      <c r="AI649" s="97" t="s">
        <v>79</v>
      </c>
      <c r="AJ649" s="97" t="s">
        <v>79</v>
      </c>
      <c r="AK649" s="97" t="s">
        <v>79</v>
      </c>
    </row>
    <row r="650" ht="15.75" customHeight="1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  <c r="AD650" s="96"/>
      <c r="AE650" s="96"/>
      <c r="AF650" s="96"/>
      <c r="AG650" s="96"/>
      <c r="AH650" s="97" t="s">
        <v>79</v>
      </c>
      <c r="AI650" s="97" t="s">
        <v>79</v>
      </c>
      <c r="AJ650" s="97" t="s">
        <v>79</v>
      </c>
      <c r="AK650" s="97" t="s">
        <v>79</v>
      </c>
    </row>
    <row r="651" ht="15.75" customHeight="1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  <c r="AD651" s="96"/>
      <c r="AE651" s="96"/>
      <c r="AF651" s="96"/>
      <c r="AG651" s="96"/>
      <c r="AH651" s="97" t="s">
        <v>79</v>
      </c>
      <c r="AI651" s="97" t="s">
        <v>79</v>
      </c>
      <c r="AJ651" s="97" t="s">
        <v>79</v>
      </c>
      <c r="AK651" s="97" t="s">
        <v>79</v>
      </c>
    </row>
    <row r="652" ht="15.75" customHeight="1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  <c r="AD652" s="96"/>
      <c r="AE652" s="96"/>
      <c r="AF652" s="96"/>
      <c r="AG652" s="96"/>
      <c r="AH652" s="97" t="s">
        <v>79</v>
      </c>
      <c r="AI652" s="97" t="s">
        <v>79</v>
      </c>
      <c r="AJ652" s="97" t="s">
        <v>79</v>
      </c>
      <c r="AK652" s="97" t="s">
        <v>79</v>
      </c>
    </row>
    <row r="653" ht="15.75" customHeight="1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  <c r="AD653" s="96"/>
      <c r="AE653" s="96"/>
      <c r="AF653" s="96"/>
      <c r="AG653" s="96"/>
      <c r="AH653" s="97" t="s">
        <v>79</v>
      </c>
      <c r="AI653" s="97" t="s">
        <v>79</v>
      </c>
      <c r="AJ653" s="97" t="s">
        <v>79</v>
      </c>
      <c r="AK653" s="97" t="s">
        <v>79</v>
      </c>
    </row>
    <row r="654" ht="15.75" customHeight="1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  <c r="AD654" s="96"/>
      <c r="AE654" s="96"/>
      <c r="AF654" s="96"/>
      <c r="AG654" s="96"/>
      <c r="AH654" s="97" t="s">
        <v>79</v>
      </c>
      <c r="AI654" s="97" t="s">
        <v>79</v>
      </c>
      <c r="AJ654" s="97" t="s">
        <v>79</v>
      </c>
      <c r="AK654" s="97" t="s">
        <v>79</v>
      </c>
    </row>
    <row r="655" ht="15.75" customHeight="1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  <c r="AD655" s="96"/>
      <c r="AE655" s="96"/>
      <c r="AF655" s="96"/>
      <c r="AG655" s="96"/>
      <c r="AH655" s="97" t="s">
        <v>79</v>
      </c>
      <c r="AI655" s="97" t="s">
        <v>79</v>
      </c>
      <c r="AJ655" s="97" t="s">
        <v>79</v>
      </c>
      <c r="AK655" s="97" t="s">
        <v>79</v>
      </c>
    </row>
    <row r="656" ht="15.75" customHeight="1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  <c r="AD656" s="96"/>
      <c r="AE656" s="96"/>
      <c r="AF656" s="96"/>
      <c r="AG656" s="96"/>
      <c r="AH656" s="97" t="s">
        <v>79</v>
      </c>
      <c r="AI656" s="97" t="s">
        <v>79</v>
      </c>
      <c r="AJ656" s="97" t="s">
        <v>79</v>
      </c>
      <c r="AK656" s="97" t="s">
        <v>79</v>
      </c>
    </row>
    <row r="657" ht="15.75" customHeight="1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  <c r="AD657" s="96"/>
      <c r="AE657" s="96"/>
      <c r="AF657" s="96"/>
      <c r="AG657" s="96"/>
      <c r="AH657" s="97" t="s">
        <v>79</v>
      </c>
      <c r="AI657" s="97" t="s">
        <v>79</v>
      </c>
      <c r="AJ657" s="97" t="s">
        <v>79</v>
      </c>
      <c r="AK657" s="97" t="s">
        <v>79</v>
      </c>
    </row>
    <row r="658" ht="15.75" customHeight="1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  <c r="AD658" s="96"/>
      <c r="AE658" s="96"/>
      <c r="AF658" s="96"/>
      <c r="AG658" s="96"/>
      <c r="AH658" s="97" t="s">
        <v>79</v>
      </c>
      <c r="AI658" s="97" t="s">
        <v>79</v>
      </c>
      <c r="AJ658" s="97" t="s">
        <v>79</v>
      </c>
      <c r="AK658" s="97" t="s">
        <v>79</v>
      </c>
    </row>
    <row r="659" ht="15.75" customHeight="1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  <c r="AD659" s="96"/>
      <c r="AE659" s="96"/>
      <c r="AF659" s="96"/>
      <c r="AG659" s="96"/>
      <c r="AH659" s="97" t="s">
        <v>79</v>
      </c>
      <c r="AI659" s="97" t="s">
        <v>79</v>
      </c>
      <c r="AJ659" s="97" t="s">
        <v>79</v>
      </c>
      <c r="AK659" s="97" t="s">
        <v>79</v>
      </c>
    </row>
    <row r="660" ht="15.75" customHeight="1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  <c r="AD660" s="96"/>
      <c r="AE660" s="96"/>
      <c r="AF660" s="96"/>
      <c r="AG660" s="96"/>
      <c r="AH660" s="97" t="s">
        <v>79</v>
      </c>
      <c r="AI660" s="97" t="s">
        <v>79</v>
      </c>
      <c r="AJ660" s="97" t="s">
        <v>79</v>
      </c>
      <c r="AK660" s="97" t="s">
        <v>79</v>
      </c>
    </row>
    <row r="661" ht="15.75" customHeight="1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  <c r="AD661" s="96"/>
      <c r="AE661" s="96"/>
      <c r="AF661" s="96"/>
      <c r="AG661" s="96"/>
      <c r="AH661" s="97" t="s">
        <v>79</v>
      </c>
      <c r="AI661" s="97" t="s">
        <v>79</v>
      </c>
      <c r="AJ661" s="97" t="s">
        <v>79</v>
      </c>
      <c r="AK661" s="97" t="s">
        <v>79</v>
      </c>
    </row>
    <row r="662" ht="15.75" customHeight="1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  <c r="AD662" s="96"/>
      <c r="AE662" s="96"/>
      <c r="AF662" s="96"/>
      <c r="AG662" s="96"/>
      <c r="AH662" s="97" t="s">
        <v>79</v>
      </c>
      <c r="AI662" s="97" t="s">
        <v>79</v>
      </c>
      <c r="AJ662" s="97" t="s">
        <v>79</v>
      </c>
      <c r="AK662" s="97" t="s">
        <v>79</v>
      </c>
    </row>
    <row r="663" ht="15.75" customHeight="1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  <c r="AD663" s="96"/>
      <c r="AE663" s="96"/>
      <c r="AF663" s="96"/>
      <c r="AG663" s="96"/>
      <c r="AH663" s="97" t="s">
        <v>79</v>
      </c>
      <c r="AI663" s="97" t="s">
        <v>79</v>
      </c>
      <c r="AJ663" s="97" t="s">
        <v>79</v>
      </c>
      <c r="AK663" s="97" t="s">
        <v>79</v>
      </c>
    </row>
    <row r="664" ht="15.75" customHeight="1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  <c r="AD664" s="96"/>
      <c r="AE664" s="96"/>
      <c r="AF664" s="96"/>
      <c r="AG664" s="96"/>
      <c r="AH664" s="97" t="s">
        <v>79</v>
      </c>
      <c r="AI664" s="97" t="s">
        <v>79</v>
      </c>
      <c r="AJ664" s="97" t="s">
        <v>79</v>
      </c>
      <c r="AK664" s="97" t="s">
        <v>79</v>
      </c>
    </row>
    <row r="665" ht="15.75" customHeight="1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  <c r="AD665" s="96"/>
      <c r="AE665" s="96"/>
      <c r="AF665" s="96"/>
      <c r="AG665" s="96"/>
      <c r="AH665" s="97" t="s">
        <v>79</v>
      </c>
      <c r="AI665" s="97" t="s">
        <v>79</v>
      </c>
      <c r="AJ665" s="97" t="s">
        <v>79</v>
      </c>
      <c r="AK665" s="97" t="s">
        <v>79</v>
      </c>
    </row>
    <row r="666" ht="15.75" customHeight="1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  <c r="AD666" s="96"/>
      <c r="AE666" s="96"/>
      <c r="AF666" s="96"/>
      <c r="AG666" s="96"/>
      <c r="AH666" s="97" t="s">
        <v>79</v>
      </c>
      <c r="AI666" s="97" t="s">
        <v>79</v>
      </c>
      <c r="AJ666" s="97" t="s">
        <v>79</v>
      </c>
      <c r="AK666" s="97" t="s">
        <v>79</v>
      </c>
    </row>
    <row r="667" ht="15.75" customHeight="1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  <c r="AD667" s="96"/>
      <c r="AE667" s="96"/>
      <c r="AF667" s="96"/>
      <c r="AG667" s="96"/>
      <c r="AH667" s="97" t="s">
        <v>79</v>
      </c>
      <c r="AI667" s="97" t="s">
        <v>79</v>
      </c>
      <c r="AJ667" s="97" t="s">
        <v>79</v>
      </c>
      <c r="AK667" s="97" t="s">
        <v>79</v>
      </c>
    </row>
    <row r="668" ht="15.75" customHeight="1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  <c r="AD668" s="96"/>
      <c r="AE668" s="96"/>
      <c r="AF668" s="96"/>
      <c r="AG668" s="96"/>
      <c r="AH668" s="97" t="s">
        <v>79</v>
      </c>
      <c r="AI668" s="97" t="s">
        <v>79</v>
      </c>
      <c r="AJ668" s="97" t="s">
        <v>79</v>
      </c>
      <c r="AK668" s="97" t="s">
        <v>79</v>
      </c>
    </row>
    <row r="669" ht="15.75" customHeight="1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  <c r="AD669" s="96"/>
      <c r="AE669" s="96"/>
      <c r="AF669" s="96"/>
      <c r="AG669" s="96"/>
      <c r="AH669" s="97" t="s">
        <v>79</v>
      </c>
      <c r="AI669" s="97" t="s">
        <v>79</v>
      </c>
      <c r="AJ669" s="97" t="s">
        <v>79</v>
      </c>
      <c r="AK669" s="97" t="s">
        <v>79</v>
      </c>
    </row>
    <row r="670" ht="15.75" customHeight="1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  <c r="AD670" s="96"/>
      <c r="AE670" s="96"/>
      <c r="AF670" s="96"/>
      <c r="AG670" s="96"/>
      <c r="AH670" s="97" t="s">
        <v>79</v>
      </c>
      <c r="AI670" s="97" t="s">
        <v>79</v>
      </c>
      <c r="AJ670" s="97" t="s">
        <v>79</v>
      </c>
      <c r="AK670" s="97" t="s">
        <v>79</v>
      </c>
    </row>
    <row r="671" ht="15.75" customHeight="1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  <c r="AD671" s="96"/>
      <c r="AE671" s="96"/>
      <c r="AF671" s="96"/>
      <c r="AG671" s="96"/>
      <c r="AH671" s="97" t="s">
        <v>79</v>
      </c>
      <c r="AI671" s="97" t="s">
        <v>79</v>
      </c>
      <c r="AJ671" s="97" t="s">
        <v>79</v>
      </c>
      <c r="AK671" s="97" t="s">
        <v>79</v>
      </c>
    </row>
    <row r="672" ht="15.75" customHeight="1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  <c r="AD672" s="96"/>
      <c r="AE672" s="96"/>
      <c r="AF672" s="96"/>
      <c r="AG672" s="96"/>
      <c r="AH672" s="97" t="s">
        <v>79</v>
      </c>
      <c r="AI672" s="97" t="s">
        <v>79</v>
      </c>
      <c r="AJ672" s="97" t="s">
        <v>79</v>
      </c>
      <c r="AK672" s="97" t="s">
        <v>79</v>
      </c>
    </row>
    <row r="673" ht="15.75" customHeight="1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  <c r="AD673" s="96"/>
      <c r="AE673" s="96"/>
      <c r="AF673" s="96"/>
      <c r="AG673" s="96"/>
      <c r="AH673" s="97" t="s">
        <v>79</v>
      </c>
      <c r="AI673" s="97" t="s">
        <v>79</v>
      </c>
      <c r="AJ673" s="97" t="s">
        <v>79</v>
      </c>
      <c r="AK673" s="97" t="s">
        <v>79</v>
      </c>
    </row>
    <row r="674" ht="15.75" customHeight="1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  <c r="AD674" s="96"/>
      <c r="AE674" s="96"/>
      <c r="AF674" s="96"/>
      <c r="AG674" s="96"/>
      <c r="AH674" s="97" t="s">
        <v>79</v>
      </c>
      <c r="AI674" s="97" t="s">
        <v>79</v>
      </c>
      <c r="AJ674" s="97" t="s">
        <v>79</v>
      </c>
      <c r="AK674" s="97" t="s">
        <v>79</v>
      </c>
    </row>
    <row r="675" ht="15.75" customHeight="1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  <c r="AD675" s="96"/>
      <c r="AE675" s="96"/>
      <c r="AF675" s="96"/>
      <c r="AG675" s="96"/>
      <c r="AH675" s="97" t="s">
        <v>79</v>
      </c>
      <c r="AI675" s="97" t="s">
        <v>79</v>
      </c>
      <c r="AJ675" s="97" t="s">
        <v>79</v>
      </c>
      <c r="AK675" s="97" t="s">
        <v>79</v>
      </c>
    </row>
    <row r="676" ht="15.75" customHeight="1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  <c r="AD676" s="96"/>
      <c r="AE676" s="96"/>
      <c r="AF676" s="96"/>
      <c r="AG676" s="96"/>
      <c r="AH676" s="97" t="s">
        <v>79</v>
      </c>
      <c r="AI676" s="97" t="s">
        <v>79</v>
      </c>
      <c r="AJ676" s="97" t="s">
        <v>79</v>
      </c>
      <c r="AK676" s="97" t="s">
        <v>79</v>
      </c>
    </row>
    <row r="677" ht="15.75" customHeight="1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  <c r="AD677" s="96"/>
      <c r="AE677" s="96"/>
      <c r="AF677" s="96"/>
      <c r="AG677" s="96"/>
      <c r="AH677" s="97" t="s">
        <v>79</v>
      </c>
      <c r="AI677" s="97" t="s">
        <v>79</v>
      </c>
      <c r="AJ677" s="97" t="s">
        <v>79</v>
      </c>
      <c r="AK677" s="97" t="s">
        <v>79</v>
      </c>
    </row>
    <row r="678" ht="15.75" customHeight="1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  <c r="AD678" s="96"/>
      <c r="AE678" s="96"/>
      <c r="AF678" s="96"/>
      <c r="AG678" s="96"/>
      <c r="AH678" s="97" t="s">
        <v>79</v>
      </c>
      <c r="AI678" s="97" t="s">
        <v>79</v>
      </c>
      <c r="AJ678" s="97" t="s">
        <v>79</v>
      </c>
      <c r="AK678" s="97" t="s">
        <v>79</v>
      </c>
    </row>
    <row r="679" ht="15.75" customHeight="1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  <c r="AD679" s="96"/>
      <c r="AE679" s="96"/>
      <c r="AF679" s="96"/>
      <c r="AG679" s="96"/>
      <c r="AH679" s="97" t="s">
        <v>79</v>
      </c>
      <c r="AI679" s="97" t="s">
        <v>79</v>
      </c>
      <c r="AJ679" s="97" t="s">
        <v>79</v>
      </c>
      <c r="AK679" s="97" t="s">
        <v>79</v>
      </c>
    </row>
    <row r="680" ht="15.75" customHeight="1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  <c r="AD680" s="96"/>
      <c r="AE680" s="96"/>
      <c r="AF680" s="96"/>
      <c r="AG680" s="96"/>
      <c r="AH680" s="97" t="s">
        <v>79</v>
      </c>
      <c r="AI680" s="97" t="s">
        <v>79</v>
      </c>
      <c r="AJ680" s="97" t="s">
        <v>79</v>
      </c>
      <c r="AK680" s="97" t="s">
        <v>79</v>
      </c>
    </row>
    <row r="681" ht="15.75" customHeight="1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  <c r="AD681" s="96"/>
      <c r="AE681" s="96"/>
      <c r="AF681" s="96"/>
      <c r="AG681" s="96"/>
      <c r="AH681" s="97" t="s">
        <v>79</v>
      </c>
      <c r="AI681" s="97" t="s">
        <v>79</v>
      </c>
      <c r="AJ681" s="97" t="s">
        <v>79</v>
      </c>
      <c r="AK681" s="97" t="s">
        <v>79</v>
      </c>
    </row>
    <row r="682" ht="15.75" customHeight="1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  <c r="AD682" s="96"/>
      <c r="AE682" s="96"/>
      <c r="AF682" s="96"/>
      <c r="AG682" s="96"/>
      <c r="AH682" s="97" t="s">
        <v>79</v>
      </c>
      <c r="AI682" s="97" t="s">
        <v>79</v>
      </c>
      <c r="AJ682" s="97" t="s">
        <v>79</v>
      </c>
      <c r="AK682" s="97" t="s">
        <v>79</v>
      </c>
    </row>
    <row r="683" ht="15.75" customHeight="1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  <c r="AD683" s="96"/>
      <c r="AE683" s="96"/>
      <c r="AF683" s="96"/>
      <c r="AG683" s="96"/>
      <c r="AH683" s="97" t="s">
        <v>79</v>
      </c>
      <c r="AI683" s="97" t="s">
        <v>79</v>
      </c>
      <c r="AJ683" s="97" t="s">
        <v>79</v>
      </c>
      <c r="AK683" s="97" t="s">
        <v>79</v>
      </c>
    </row>
    <row r="684" ht="15.75" customHeight="1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  <c r="AG684" s="96"/>
      <c r="AH684" s="97" t="s">
        <v>79</v>
      </c>
      <c r="AI684" s="97" t="s">
        <v>79</v>
      </c>
      <c r="AJ684" s="97" t="s">
        <v>79</v>
      </c>
      <c r="AK684" s="97" t="s">
        <v>79</v>
      </c>
    </row>
    <row r="685" ht="15.75" customHeight="1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  <c r="AG685" s="96"/>
      <c r="AH685" s="97" t="s">
        <v>79</v>
      </c>
      <c r="AI685" s="97" t="s">
        <v>79</v>
      </c>
      <c r="AJ685" s="97" t="s">
        <v>79</v>
      </c>
      <c r="AK685" s="97" t="s">
        <v>79</v>
      </c>
    </row>
    <row r="686" ht="15.75" customHeight="1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  <c r="AD686" s="96"/>
      <c r="AE686" s="96"/>
      <c r="AF686" s="96"/>
      <c r="AG686" s="96"/>
      <c r="AH686" s="97" t="s">
        <v>79</v>
      </c>
      <c r="AI686" s="97" t="s">
        <v>79</v>
      </c>
      <c r="AJ686" s="97" t="s">
        <v>79</v>
      </c>
      <c r="AK686" s="97" t="s">
        <v>79</v>
      </c>
    </row>
    <row r="687" ht="15.75" customHeight="1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  <c r="AD687" s="96"/>
      <c r="AE687" s="96"/>
      <c r="AF687" s="96"/>
      <c r="AG687" s="96"/>
      <c r="AH687" s="97" t="s">
        <v>79</v>
      </c>
      <c r="AI687" s="97" t="s">
        <v>79</v>
      </c>
      <c r="AJ687" s="97" t="s">
        <v>79</v>
      </c>
      <c r="AK687" s="97" t="s">
        <v>79</v>
      </c>
    </row>
    <row r="688" ht="15.75" customHeight="1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7" t="s">
        <v>79</v>
      </c>
      <c r="AI688" s="97" t="s">
        <v>79</v>
      </c>
      <c r="AJ688" s="97" t="s">
        <v>79</v>
      </c>
      <c r="AK688" s="97" t="s">
        <v>79</v>
      </c>
    </row>
    <row r="689" ht="15.75" customHeight="1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  <c r="AD689" s="96"/>
      <c r="AE689" s="96"/>
      <c r="AF689" s="96"/>
      <c r="AG689" s="96"/>
      <c r="AH689" s="97" t="s">
        <v>79</v>
      </c>
      <c r="AI689" s="97" t="s">
        <v>79</v>
      </c>
      <c r="AJ689" s="97" t="s">
        <v>79</v>
      </c>
      <c r="AK689" s="97" t="s">
        <v>79</v>
      </c>
    </row>
    <row r="690" ht="15.75" customHeight="1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  <c r="AD690" s="96"/>
      <c r="AE690" s="96"/>
      <c r="AF690" s="96"/>
      <c r="AG690" s="96"/>
      <c r="AH690" s="97" t="s">
        <v>79</v>
      </c>
      <c r="AI690" s="97" t="s">
        <v>79</v>
      </c>
      <c r="AJ690" s="97" t="s">
        <v>79</v>
      </c>
      <c r="AK690" s="97" t="s">
        <v>79</v>
      </c>
    </row>
    <row r="691" ht="15.75" customHeight="1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  <c r="AD691" s="96"/>
      <c r="AE691" s="96"/>
      <c r="AF691" s="96"/>
      <c r="AG691" s="96"/>
      <c r="AH691" s="97" t="s">
        <v>79</v>
      </c>
      <c r="AI691" s="97" t="s">
        <v>79</v>
      </c>
      <c r="AJ691" s="97" t="s">
        <v>79</v>
      </c>
      <c r="AK691" s="97" t="s">
        <v>79</v>
      </c>
    </row>
    <row r="692" ht="15.75" customHeight="1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  <c r="AG692" s="96"/>
      <c r="AH692" s="97" t="s">
        <v>79</v>
      </c>
      <c r="AI692" s="97" t="s">
        <v>79</v>
      </c>
      <c r="AJ692" s="97" t="s">
        <v>79</v>
      </c>
      <c r="AK692" s="97" t="s">
        <v>79</v>
      </c>
    </row>
    <row r="693" ht="15.75" customHeight="1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  <c r="AD693" s="96"/>
      <c r="AE693" s="96"/>
      <c r="AF693" s="96"/>
      <c r="AG693" s="96"/>
      <c r="AH693" s="97" t="s">
        <v>79</v>
      </c>
      <c r="AI693" s="97" t="s">
        <v>79</v>
      </c>
      <c r="AJ693" s="97" t="s">
        <v>79</v>
      </c>
      <c r="AK693" s="97" t="s">
        <v>79</v>
      </c>
    </row>
    <row r="694" ht="15.75" customHeight="1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  <c r="AD694" s="96"/>
      <c r="AE694" s="96"/>
      <c r="AF694" s="96"/>
      <c r="AG694" s="96"/>
      <c r="AH694" s="97" t="s">
        <v>79</v>
      </c>
      <c r="AI694" s="97" t="s">
        <v>79</v>
      </c>
      <c r="AJ694" s="97" t="s">
        <v>79</v>
      </c>
      <c r="AK694" s="97" t="s">
        <v>79</v>
      </c>
    </row>
    <row r="695" ht="15.75" customHeight="1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  <c r="AD695" s="96"/>
      <c r="AE695" s="96"/>
      <c r="AF695" s="96"/>
      <c r="AG695" s="96"/>
      <c r="AH695" s="97" t="s">
        <v>79</v>
      </c>
      <c r="AI695" s="97" t="s">
        <v>79</v>
      </c>
      <c r="AJ695" s="97" t="s">
        <v>79</v>
      </c>
      <c r="AK695" s="97" t="s">
        <v>79</v>
      </c>
    </row>
    <row r="696" ht="15.75" customHeight="1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  <c r="AD696" s="96"/>
      <c r="AE696" s="96"/>
      <c r="AF696" s="96"/>
      <c r="AG696" s="96"/>
      <c r="AH696" s="97" t="s">
        <v>79</v>
      </c>
      <c r="AI696" s="97" t="s">
        <v>79</v>
      </c>
      <c r="AJ696" s="97" t="s">
        <v>79</v>
      </c>
      <c r="AK696" s="97" t="s">
        <v>79</v>
      </c>
    </row>
    <row r="697" ht="15.75" customHeight="1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  <c r="AD697" s="96"/>
      <c r="AE697" s="96"/>
      <c r="AF697" s="96"/>
      <c r="AG697" s="96"/>
      <c r="AH697" s="97" t="s">
        <v>79</v>
      </c>
      <c r="AI697" s="97" t="s">
        <v>79</v>
      </c>
      <c r="AJ697" s="97" t="s">
        <v>79</v>
      </c>
      <c r="AK697" s="97" t="s">
        <v>79</v>
      </c>
    </row>
    <row r="698" ht="15.75" customHeight="1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  <c r="AD698" s="96"/>
      <c r="AE698" s="96"/>
      <c r="AF698" s="96"/>
      <c r="AG698" s="96"/>
      <c r="AH698" s="97" t="s">
        <v>79</v>
      </c>
      <c r="AI698" s="97" t="s">
        <v>79</v>
      </c>
      <c r="AJ698" s="97" t="s">
        <v>79</v>
      </c>
      <c r="AK698" s="97" t="s">
        <v>79</v>
      </c>
    </row>
    <row r="699" ht="15.75" customHeight="1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  <c r="AD699" s="96"/>
      <c r="AE699" s="96"/>
      <c r="AF699" s="96"/>
      <c r="AG699" s="96"/>
      <c r="AH699" s="97" t="s">
        <v>79</v>
      </c>
      <c r="AI699" s="97" t="s">
        <v>79</v>
      </c>
      <c r="AJ699" s="97" t="s">
        <v>79</v>
      </c>
      <c r="AK699" s="97" t="s">
        <v>79</v>
      </c>
    </row>
    <row r="700" ht="15.75" customHeight="1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  <c r="AD700" s="96"/>
      <c r="AE700" s="96"/>
      <c r="AF700" s="96"/>
      <c r="AG700" s="96"/>
      <c r="AH700" s="97" t="s">
        <v>79</v>
      </c>
      <c r="AI700" s="97" t="s">
        <v>79</v>
      </c>
      <c r="AJ700" s="97" t="s">
        <v>79</v>
      </c>
      <c r="AK700" s="97" t="s">
        <v>79</v>
      </c>
    </row>
    <row r="701" ht="15.75" customHeight="1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  <c r="AD701" s="96"/>
      <c r="AE701" s="96"/>
      <c r="AF701" s="96"/>
      <c r="AG701" s="96"/>
      <c r="AH701" s="97" t="s">
        <v>79</v>
      </c>
      <c r="AI701" s="97" t="s">
        <v>79</v>
      </c>
      <c r="AJ701" s="97" t="s">
        <v>79</v>
      </c>
      <c r="AK701" s="97" t="s">
        <v>79</v>
      </c>
    </row>
    <row r="702" ht="15.75" customHeight="1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  <c r="AD702" s="96"/>
      <c r="AE702" s="96"/>
      <c r="AF702" s="96"/>
      <c r="AG702" s="96"/>
      <c r="AH702" s="97" t="s">
        <v>79</v>
      </c>
      <c r="AI702" s="97" t="s">
        <v>79</v>
      </c>
      <c r="AJ702" s="97" t="s">
        <v>79</v>
      </c>
      <c r="AK702" s="97" t="s">
        <v>79</v>
      </c>
    </row>
    <row r="703" ht="15.75" customHeight="1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  <c r="AD703" s="96"/>
      <c r="AE703" s="96"/>
      <c r="AF703" s="96"/>
      <c r="AG703" s="96"/>
      <c r="AH703" s="97" t="s">
        <v>79</v>
      </c>
      <c r="AI703" s="97" t="s">
        <v>79</v>
      </c>
      <c r="AJ703" s="97" t="s">
        <v>79</v>
      </c>
      <c r="AK703" s="97" t="s">
        <v>79</v>
      </c>
    </row>
    <row r="704" ht="15.75" customHeight="1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  <c r="AD704" s="96"/>
      <c r="AE704" s="96"/>
      <c r="AF704" s="96"/>
      <c r="AG704" s="96"/>
      <c r="AH704" s="97" t="s">
        <v>79</v>
      </c>
      <c r="AI704" s="97" t="s">
        <v>79</v>
      </c>
      <c r="AJ704" s="97" t="s">
        <v>79</v>
      </c>
      <c r="AK704" s="97" t="s">
        <v>79</v>
      </c>
    </row>
    <row r="705" ht="15.75" customHeight="1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  <c r="AD705" s="96"/>
      <c r="AE705" s="96"/>
      <c r="AF705" s="96"/>
      <c r="AG705" s="96"/>
      <c r="AH705" s="97" t="s">
        <v>79</v>
      </c>
      <c r="AI705" s="97" t="s">
        <v>79</v>
      </c>
      <c r="AJ705" s="97" t="s">
        <v>79</v>
      </c>
      <c r="AK705" s="97" t="s">
        <v>79</v>
      </c>
    </row>
    <row r="706" ht="15.75" customHeight="1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  <c r="AD706" s="96"/>
      <c r="AE706" s="96"/>
      <c r="AF706" s="96"/>
      <c r="AG706" s="96"/>
      <c r="AH706" s="97" t="s">
        <v>79</v>
      </c>
      <c r="AI706" s="97" t="s">
        <v>79</v>
      </c>
      <c r="AJ706" s="97" t="s">
        <v>79</v>
      </c>
      <c r="AK706" s="97" t="s">
        <v>79</v>
      </c>
    </row>
    <row r="707" ht="15.75" customHeight="1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  <c r="AD707" s="96"/>
      <c r="AE707" s="96"/>
      <c r="AF707" s="96"/>
      <c r="AG707" s="96"/>
      <c r="AH707" s="97" t="s">
        <v>79</v>
      </c>
      <c r="AI707" s="97" t="s">
        <v>79</v>
      </c>
      <c r="AJ707" s="97" t="s">
        <v>79</v>
      </c>
      <c r="AK707" s="97" t="s">
        <v>79</v>
      </c>
    </row>
    <row r="708" ht="15.75" customHeight="1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  <c r="AD708" s="96"/>
      <c r="AE708" s="96"/>
      <c r="AF708" s="96"/>
      <c r="AG708" s="96"/>
      <c r="AH708" s="97" t="s">
        <v>79</v>
      </c>
      <c r="AI708" s="97" t="s">
        <v>79</v>
      </c>
      <c r="AJ708" s="97" t="s">
        <v>79</v>
      </c>
      <c r="AK708" s="97" t="s">
        <v>79</v>
      </c>
    </row>
    <row r="709" ht="15.75" customHeight="1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  <c r="AD709" s="96"/>
      <c r="AE709" s="96"/>
      <c r="AF709" s="96"/>
      <c r="AG709" s="96"/>
      <c r="AH709" s="97" t="s">
        <v>79</v>
      </c>
      <c r="AI709" s="97" t="s">
        <v>79</v>
      </c>
      <c r="AJ709" s="97" t="s">
        <v>79</v>
      </c>
      <c r="AK709" s="97" t="s">
        <v>79</v>
      </c>
    </row>
    <row r="710" ht="15.75" customHeight="1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  <c r="AD710" s="96"/>
      <c r="AE710" s="96"/>
      <c r="AF710" s="96"/>
      <c r="AG710" s="96"/>
      <c r="AH710" s="97" t="s">
        <v>79</v>
      </c>
      <c r="AI710" s="97" t="s">
        <v>79</v>
      </c>
      <c r="AJ710" s="97" t="s">
        <v>79</v>
      </c>
      <c r="AK710" s="97" t="s">
        <v>79</v>
      </c>
    </row>
    <row r="711" ht="15.75" customHeight="1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  <c r="AD711" s="96"/>
      <c r="AE711" s="96"/>
      <c r="AF711" s="96"/>
      <c r="AG711" s="96"/>
      <c r="AH711" s="97" t="s">
        <v>79</v>
      </c>
      <c r="AI711" s="97" t="s">
        <v>79</v>
      </c>
      <c r="AJ711" s="97" t="s">
        <v>79</v>
      </c>
      <c r="AK711" s="97" t="s">
        <v>79</v>
      </c>
    </row>
    <row r="712" ht="15.75" customHeight="1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  <c r="AD712" s="96"/>
      <c r="AE712" s="96"/>
      <c r="AF712" s="96"/>
      <c r="AG712" s="96"/>
      <c r="AH712" s="97" t="s">
        <v>79</v>
      </c>
      <c r="AI712" s="97" t="s">
        <v>79</v>
      </c>
      <c r="AJ712" s="97" t="s">
        <v>79</v>
      </c>
      <c r="AK712" s="97" t="s">
        <v>79</v>
      </c>
    </row>
    <row r="713" ht="15.75" customHeight="1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  <c r="AD713" s="96"/>
      <c r="AE713" s="96"/>
      <c r="AF713" s="96"/>
      <c r="AG713" s="96"/>
      <c r="AH713" s="97" t="s">
        <v>79</v>
      </c>
      <c r="AI713" s="97" t="s">
        <v>79</v>
      </c>
      <c r="AJ713" s="97" t="s">
        <v>79</v>
      </c>
      <c r="AK713" s="97" t="s">
        <v>79</v>
      </c>
    </row>
    <row r="714" ht="15.75" customHeight="1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  <c r="AD714" s="96"/>
      <c r="AE714" s="96"/>
      <c r="AF714" s="96"/>
      <c r="AG714" s="96"/>
      <c r="AH714" s="97" t="s">
        <v>79</v>
      </c>
      <c r="AI714" s="97" t="s">
        <v>79</v>
      </c>
      <c r="AJ714" s="97" t="s">
        <v>79</v>
      </c>
      <c r="AK714" s="97" t="s">
        <v>79</v>
      </c>
    </row>
    <row r="715" ht="15.75" customHeight="1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  <c r="AD715" s="96"/>
      <c r="AE715" s="96"/>
      <c r="AF715" s="96"/>
      <c r="AG715" s="96"/>
      <c r="AH715" s="97" t="s">
        <v>79</v>
      </c>
      <c r="AI715" s="97" t="s">
        <v>79</v>
      </c>
      <c r="AJ715" s="97" t="s">
        <v>79</v>
      </c>
      <c r="AK715" s="97" t="s">
        <v>79</v>
      </c>
    </row>
    <row r="716" ht="15.75" customHeight="1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  <c r="AD716" s="96"/>
      <c r="AE716" s="96"/>
      <c r="AF716" s="96"/>
      <c r="AG716" s="96"/>
      <c r="AH716" s="97" t="s">
        <v>79</v>
      </c>
      <c r="AI716" s="97" t="s">
        <v>79</v>
      </c>
      <c r="AJ716" s="97" t="s">
        <v>79</v>
      </c>
      <c r="AK716" s="97" t="s">
        <v>79</v>
      </c>
    </row>
    <row r="717" ht="15.75" customHeight="1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  <c r="AD717" s="96"/>
      <c r="AE717" s="96"/>
      <c r="AF717" s="96"/>
      <c r="AG717" s="96"/>
      <c r="AH717" s="97" t="s">
        <v>79</v>
      </c>
      <c r="AI717" s="97" t="s">
        <v>79</v>
      </c>
      <c r="AJ717" s="97" t="s">
        <v>79</v>
      </c>
      <c r="AK717" s="97" t="s">
        <v>79</v>
      </c>
    </row>
    <row r="718" ht="15.75" customHeight="1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  <c r="AD718" s="96"/>
      <c r="AE718" s="96"/>
      <c r="AF718" s="96"/>
      <c r="AG718" s="96"/>
      <c r="AH718" s="97" t="s">
        <v>79</v>
      </c>
      <c r="AI718" s="97" t="s">
        <v>79</v>
      </c>
      <c r="AJ718" s="97" t="s">
        <v>79</v>
      </c>
      <c r="AK718" s="97" t="s">
        <v>79</v>
      </c>
    </row>
    <row r="719" ht="15.75" customHeight="1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  <c r="AD719" s="96"/>
      <c r="AE719" s="96"/>
      <c r="AF719" s="96"/>
      <c r="AG719" s="96"/>
      <c r="AH719" s="97" t="s">
        <v>79</v>
      </c>
      <c r="AI719" s="97" t="s">
        <v>79</v>
      </c>
      <c r="AJ719" s="97" t="s">
        <v>79</v>
      </c>
      <c r="AK719" s="97" t="s">
        <v>79</v>
      </c>
    </row>
    <row r="720" ht="15.75" customHeight="1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  <c r="AD720" s="96"/>
      <c r="AE720" s="96"/>
      <c r="AF720" s="96"/>
      <c r="AG720" s="96"/>
      <c r="AH720" s="97" t="s">
        <v>79</v>
      </c>
      <c r="AI720" s="97" t="s">
        <v>79</v>
      </c>
      <c r="AJ720" s="97" t="s">
        <v>79</v>
      </c>
      <c r="AK720" s="97" t="s">
        <v>79</v>
      </c>
    </row>
    <row r="721" ht="15.75" customHeight="1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  <c r="AD721" s="96"/>
      <c r="AE721" s="96"/>
      <c r="AF721" s="96"/>
      <c r="AG721" s="96"/>
      <c r="AH721" s="97" t="s">
        <v>79</v>
      </c>
      <c r="AI721" s="97" t="s">
        <v>79</v>
      </c>
      <c r="AJ721" s="97" t="s">
        <v>79</v>
      </c>
      <c r="AK721" s="97" t="s">
        <v>79</v>
      </c>
    </row>
    <row r="722" ht="15.75" customHeight="1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  <c r="AD722" s="96"/>
      <c r="AE722" s="96"/>
      <c r="AF722" s="96"/>
      <c r="AG722" s="96"/>
      <c r="AH722" s="97" t="s">
        <v>79</v>
      </c>
      <c r="AI722" s="97" t="s">
        <v>79</v>
      </c>
      <c r="AJ722" s="97" t="s">
        <v>79</v>
      </c>
      <c r="AK722" s="97" t="s">
        <v>79</v>
      </c>
    </row>
    <row r="723" ht="15.75" customHeight="1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  <c r="AD723" s="96"/>
      <c r="AE723" s="96"/>
      <c r="AF723" s="96"/>
      <c r="AG723" s="96"/>
      <c r="AH723" s="97" t="s">
        <v>79</v>
      </c>
      <c r="AI723" s="97" t="s">
        <v>79</v>
      </c>
      <c r="AJ723" s="97" t="s">
        <v>79</v>
      </c>
      <c r="AK723" s="97" t="s">
        <v>79</v>
      </c>
    </row>
    <row r="724" ht="15.75" customHeight="1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  <c r="AD724" s="96"/>
      <c r="AE724" s="96"/>
      <c r="AF724" s="96"/>
      <c r="AG724" s="96"/>
      <c r="AH724" s="97" t="s">
        <v>79</v>
      </c>
      <c r="AI724" s="97" t="s">
        <v>79</v>
      </c>
      <c r="AJ724" s="97" t="s">
        <v>79</v>
      </c>
      <c r="AK724" s="97" t="s">
        <v>79</v>
      </c>
    </row>
    <row r="725" ht="15.75" customHeight="1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  <c r="AD725" s="96"/>
      <c r="AE725" s="96"/>
      <c r="AF725" s="96"/>
      <c r="AG725" s="96"/>
      <c r="AH725" s="97" t="s">
        <v>79</v>
      </c>
      <c r="AI725" s="97" t="s">
        <v>79</v>
      </c>
      <c r="AJ725" s="97" t="s">
        <v>79</v>
      </c>
      <c r="AK725" s="97" t="s">
        <v>79</v>
      </c>
    </row>
    <row r="726" ht="15.75" customHeight="1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  <c r="AD726" s="96"/>
      <c r="AE726" s="96"/>
      <c r="AF726" s="96"/>
      <c r="AG726" s="96"/>
      <c r="AH726" s="97" t="s">
        <v>79</v>
      </c>
      <c r="AI726" s="97" t="s">
        <v>79</v>
      </c>
      <c r="AJ726" s="97" t="s">
        <v>79</v>
      </c>
      <c r="AK726" s="97" t="s">
        <v>79</v>
      </c>
    </row>
    <row r="727" ht="15.75" customHeight="1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  <c r="AD727" s="96"/>
      <c r="AE727" s="96"/>
      <c r="AF727" s="96"/>
      <c r="AG727" s="96"/>
      <c r="AH727" s="97" t="s">
        <v>79</v>
      </c>
      <c r="AI727" s="97" t="s">
        <v>79</v>
      </c>
      <c r="AJ727" s="97" t="s">
        <v>79</v>
      </c>
      <c r="AK727" s="97" t="s">
        <v>79</v>
      </c>
    </row>
    <row r="728" ht="15.75" customHeight="1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  <c r="AD728" s="96"/>
      <c r="AE728" s="96"/>
      <c r="AF728" s="96"/>
      <c r="AG728" s="96"/>
      <c r="AH728" s="97" t="s">
        <v>79</v>
      </c>
      <c r="AI728" s="97" t="s">
        <v>79</v>
      </c>
      <c r="AJ728" s="97" t="s">
        <v>79</v>
      </c>
      <c r="AK728" s="97" t="s">
        <v>79</v>
      </c>
    </row>
    <row r="729" ht="15.75" customHeight="1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  <c r="AD729" s="96"/>
      <c r="AE729" s="96"/>
      <c r="AF729" s="96"/>
      <c r="AG729" s="96"/>
      <c r="AH729" s="97" t="s">
        <v>79</v>
      </c>
      <c r="AI729" s="97" t="s">
        <v>79</v>
      </c>
      <c r="AJ729" s="97" t="s">
        <v>79</v>
      </c>
      <c r="AK729" s="97" t="s">
        <v>79</v>
      </c>
    </row>
    <row r="730" ht="15.75" customHeight="1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  <c r="AD730" s="96"/>
      <c r="AE730" s="96"/>
      <c r="AF730" s="96"/>
      <c r="AG730" s="96"/>
      <c r="AH730" s="97" t="s">
        <v>79</v>
      </c>
      <c r="AI730" s="97" t="s">
        <v>79</v>
      </c>
      <c r="AJ730" s="97" t="s">
        <v>79</v>
      </c>
      <c r="AK730" s="97" t="s">
        <v>79</v>
      </c>
    </row>
    <row r="731" ht="15.75" customHeight="1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  <c r="AD731" s="96"/>
      <c r="AE731" s="96"/>
      <c r="AF731" s="96"/>
      <c r="AG731" s="96"/>
      <c r="AH731" s="97" t="s">
        <v>79</v>
      </c>
      <c r="AI731" s="97" t="s">
        <v>79</v>
      </c>
      <c r="AJ731" s="97" t="s">
        <v>79</v>
      </c>
      <c r="AK731" s="97" t="s">
        <v>79</v>
      </c>
    </row>
    <row r="732" ht="15.75" customHeight="1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  <c r="AD732" s="96"/>
      <c r="AE732" s="96"/>
      <c r="AF732" s="96"/>
      <c r="AG732" s="96"/>
      <c r="AH732" s="97" t="s">
        <v>79</v>
      </c>
      <c r="AI732" s="97" t="s">
        <v>79</v>
      </c>
      <c r="AJ732" s="97" t="s">
        <v>79</v>
      </c>
      <c r="AK732" s="97" t="s">
        <v>79</v>
      </c>
    </row>
    <row r="733" ht="15.75" customHeight="1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  <c r="AD733" s="96"/>
      <c r="AE733" s="96"/>
      <c r="AF733" s="96"/>
      <c r="AG733" s="96"/>
      <c r="AH733" s="97" t="s">
        <v>79</v>
      </c>
      <c r="AI733" s="97" t="s">
        <v>79</v>
      </c>
      <c r="AJ733" s="97" t="s">
        <v>79</v>
      </c>
      <c r="AK733" s="97" t="s">
        <v>79</v>
      </c>
    </row>
    <row r="734" ht="15.75" customHeight="1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  <c r="AD734" s="96"/>
      <c r="AE734" s="96"/>
      <c r="AF734" s="96"/>
      <c r="AG734" s="96"/>
      <c r="AH734" s="97" t="s">
        <v>79</v>
      </c>
      <c r="AI734" s="97" t="s">
        <v>79</v>
      </c>
      <c r="AJ734" s="97" t="s">
        <v>79</v>
      </c>
      <c r="AK734" s="97" t="s">
        <v>79</v>
      </c>
    </row>
    <row r="735" ht="15.75" customHeight="1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  <c r="AD735" s="96"/>
      <c r="AE735" s="96"/>
      <c r="AF735" s="96"/>
      <c r="AG735" s="96"/>
      <c r="AH735" s="97" t="s">
        <v>79</v>
      </c>
      <c r="AI735" s="97" t="s">
        <v>79</v>
      </c>
      <c r="AJ735" s="97" t="s">
        <v>79</v>
      </c>
      <c r="AK735" s="97" t="s">
        <v>79</v>
      </c>
    </row>
    <row r="736" ht="15.75" customHeight="1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  <c r="AD736" s="96"/>
      <c r="AE736" s="96"/>
      <c r="AF736" s="96"/>
      <c r="AG736" s="96"/>
      <c r="AH736" s="97" t="s">
        <v>79</v>
      </c>
      <c r="AI736" s="97" t="s">
        <v>79</v>
      </c>
      <c r="AJ736" s="97" t="s">
        <v>79</v>
      </c>
      <c r="AK736" s="97" t="s">
        <v>79</v>
      </c>
    </row>
    <row r="737" ht="15.75" customHeight="1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  <c r="AD737" s="96"/>
      <c r="AE737" s="96"/>
      <c r="AF737" s="96"/>
      <c r="AG737" s="96"/>
      <c r="AH737" s="97" t="s">
        <v>79</v>
      </c>
      <c r="AI737" s="97" t="s">
        <v>79</v>
      </c>
      <c r="AJ737" s="97" t="s">
        <v>79</v>
      </c>
      <c r="AK737" s="97" t="s">
        <v>79</v>
      </c>
    </row>
    <row r="738" ht="15.75" customHeight="1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  <c r="AD738" s="96"/>
      <c r="AE738" s="96"/>
      <c r="AF738" s="96"/>
      <c r="AG738" s="96"/>
      <c r="AH738" s="97" t="s">
        <v>79</v>
      </c>
      <c r="AI738" s="97" t="s">
        <v>79</v>
      </c>
      <c r="AJ738" s="97" t="s">
        <v>79</v>
      </c>
      <c r="AK738" s="97" t="s">
        <v>79</v>
      </c>
    </row>
    <row r="739" ht="15.75" customHeight="1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  <c r="AD739" s="96"/>
      <c r="AE739" s="96"/>
      <c r="AF739" s="96"/>
      <c r="AG739" s="96"/>
      <c r="AH739" s="97" t="s">
        <v>79</v>
      </c>
      <c r="AI739" s="97" t="s">
        <v>79</v>
      </c>
      <c r="AJ739" s="97" t="s">
        <v>79</v>
      </c>
      <c r="AK739" s="97" t="s">
        <v>79</v>
      </c>
    </row>
    <row r="740" ht="15.75" customHeight="1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  <c r="AD740" s="96"/>
      <c r="AE740" s="96"/>
      <c r="AF740" s="96"/>
      <c r="AG740" s="96"/>
      <c r="AH740" s="97" t="s">
        <v>79</v>
      </c>
      <c r="AI740" s="97" t="s">
        <v>79</v>
      </c>
      <c r="AJ740" s="97" t="s">
        <v>79</v>
      </c>
      <c r="AK740" s="97" t="s">
        <v>79</v>
      </c>
    </row>
    <row r="741" ht="15.75" customHeight="1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  <c r="AD741" s="96"/>
      <c r="AE741" s="96"/>
      <c r="AF741" s="96"/>
      <c r="AG741" s="96"/>
      <c r="AH741" s="97" t="s">
        <v>79</v>
      </c>
      <c r="AI741" s="97" t="s">
        <v>79</v>
      </c>
      <c r="AJ741" s="97" t="s">
        <v>79</v>
      </c>
      <c r="AK741" s="97" t="s">
        <v>79</v>
      </c>
    </row>
    <row r="742" ht="15.75" customHeight="1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  <c r="AD742" s="96"/>
      <c r="AE742" s="96"/>
      <c r="AF742" s="96"/>
      <c r="AG742" s="96"/>
      <c r="AH742" s="97" t="s">
        <v>79</v>
      </c>
      <c r="AI742" s="97" t="s">
        <v>79</v>
      </c>
      <c r="AJ742" s="97" t="s">
        <v>79</v>
      </c>
      <c r="AK742" s="97" t="s">
        <v>79</v>
      </c>
    </row>
    <row r="743" ht="15.75" customHeight="1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  <c r="AD743" s="96"/>
      <c r="AE743" s="96"/>
      <c r="AF743" s="96"/>
      <c r="AG743" s="96"/>
      <c r="AH743" s="97" t="s">
        <v>79</v>
      </c>
      <c r="AI743" s="97" t="s">
        <v>79</v>
      </c>
      <c r="AJ743" s="97" t="s">
        <v>79</v>
      </c>
      <c r="AK743" s="97" t="s">
        <v>79</v>
      </c>
    </row>
    <row r="744" ht="15.75" customHeight="1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  <c r="AC744" s="96"/>
      <c r="AD744" s="96"/>
      <c r="AE744" s="96"/>
      <c r="AF744" s="96"/>
      <c r="AG744" s="96"/>
      <c r="AH744" s="97" t="s">
        <v>79</v>
      </c>
      <c r="AI744" s="97" t="s">
        <v>79</v>
      </c>
      <c r="AJ744" s="97" t="s">
        <v>79</v>
      </c>
      <c r="AK744" s="97" t="s">
        <v>79</v>
      </c>
    </row>
    <row r="745" ht="15.75" customHeight="1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  <c r="AC745" s="96"/>
      <c r="AD745" s="96"/>
      <c r="AE745" s="96"/>
      <c r="AF745" s="96"/>
      <c r="AG745" s="96"/>
      <c r="AH745" s="97" t="s">
        <v>79</v>
      </c>
      <c r="AI745" s="97" t="s">
        <v>79</v>
      </c>
      <c r="AJ745" s="97" t="s">
        <v>79</v>
      </c>
      <c r="AK745" s="97" t="s">
        <v>79</v>
      </c>
    </row>
    <row r="746" ht="15.75" customHeight="1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  <c r="AC746" s="96"/>
      <c r="AD746" s="96"/>
      <c r="AE746" s="96"/>
      <c r="AF746" s="96"/>
      <c r="AG746" s="96"/>
      <c r="AH746" s="97" t="s">
        <v>79</v>
      </c>
      <c r="AI746" s="97" t="s">
        <v>79</v>
      </c>
      <c r="AJ746" s="97" t="s">
        <v>79</v>
      </c>
      <c r="AK746" s="97" t="s">
        <v>79</v>
      </c>
    </row>
    <row r="747" ht="15.75" customHeight="1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  <c r="AC747" s="96"/>
      <c r="AD747" s="96"/>
      <c r="AE747" s="96"/>
      <c r="AF747" s="96"/>
      <c r="AG747" s="96"/>
      <c r="AH747" s="97" t="s">
        <v>79</v>
      </c>
      <c r="AI747" s="97" t="s">
        <v>79</v>
      </c>
      <c r="AJ747" s="97" t="s">
        <v>79</v>
      </c>
      <c r="AK747" s="97" t="s">
        <v>79</v>
      </c>
    </row>
    <row r="748" ht="15.75" customHeight="1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  <c r="AC748" s="96"/>
      <c r="AD748" s="96"/>
      <c r="AE748" s="96"/>
      <c r="AF748" s="96"/>
      <c r="AG748" s="96"/>
      <c r="AH748" s="97" t="s">
        <v>79</v>
      </c>
      <c r="AI748" s="97" t="s">
        <v>79</v>
      </c>
      <c r="AJ748" s="97" t="s">
        <v>79</v>
      </c>
      <c r="AK748" s="97" t="s">
        <v>79</v>
      </c>
    </row>
    <row r="749" ht="15.75" customHeight="1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  <c r="AC749" s="96"/>
      <c r="AD749" s="96"/>
      <c r="AE749" s="96"/>
      <c r="AF749" s="96"/>
      <c r="AG749" s="96"/>
      <c r="AH749" s="97" t="s">
        <v>79</v>
      </c>
      <c r="AI749" s="97" t="s">
        <v>79</v>
      </c>
      <c r="AJ749" s="97" t="s">
        <v>79</v>
      </c>
      <c r="AK749" s="97" t="s">
        <v>79</v>
      </c>
    </row>
    <row r="750" ht="15.75" customHeight="1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  <c r="AC750" s="96"/>
      <c r="AD750" s="96"/>
      <c r="AE750" s="96"/>
      <c r="AF750" s="96"/>
      <c r="AG750" s="96"/>
      <c r="AH750" s="97" t="s">
        <v>79</v>
      </c>
      <c r="AI750" s="97" t="s">
        <v>79</v>
      </c>
      <c r="AJ750" s="97" t="s">
        <v>79</v>
      </c>
      <c r="AK750" s="97" t="s">
        <v>79</v>
      </c>
    </row>
    <row r="751" ht="15.75" customHeight="1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  <c r="AC751" s="96"/>
      <c r="AD751" s="96"/>
      <c r="AE751" s="96"/>
      <c r="AF751" s="96"/>
      <c r="AG751" s="96"/>
      <c r="AH751" s="97" t="s">
        <v>79</v>
      </c>
      <c r="AI751" s="97" t="s">
        <v>79</v>
      </c>
      <c r="AJ751" s="97" t="s">
        <v>79</v>
      </c>
      <c r="AK751" s="97" t="s">
        <v>79</v>
      </c>
    </row>
    <row r="752" ht="15.75" customHeight="1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  <c r="AC752" s="96"/>
      <c r="AD752" s="96"/>
      <c r="AE752" s="96"/>
      <c r="AF752" s="96"/>
      <c r="AG752" s="96"/>
      <c r="AH752" s="97" t="s">
        <v>79</v>
      </c>
      <c r="AI752" s="97" t="s">
        <v>79</v>
      </c>
      <c r="AJ752" s="97" t="s">
        <v>79</v>
      </c>
      <c r="AK752" s="97" t="s">
        <v>79</v>
      </c>
    </row>
    <row r="753" ht="15.75" customHeight="1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  <c r="AC753" s="96"/>
      <c r="AD753" s="96"/>
      <c r="AE753" s="96"/>
      <c r="AF753" s="96"/>
      <c r="AG753" s="96"/>
      <c r="AH753" s="97" t="s">
        <v>79</v>
      </c>
      <c r="AI753" s="97" t="s">
        <v>79</v>
      </c>
      <c r="AJ753" s="97" t="s">
        <v>79</v>
      </c>
      <c r="AK753" s="97" t="s">
        <v>79</v>
      </c>
    </row>
    <row r="754" ht="15.75" customHeight="1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  <c r="AC754" s="96"/>
      <c r="AD754" s="96"/>
      <c r="AE754" s="96"/>
      <c r="AF754" s="96"/>
      <c r="AG754" s="96"/>
      <c r="AH754" s="97" t="s">
        <v>79</v>
      </c>
      <c r="AI754" s="97" t="s">
        <v>79</v>
      </c>
      <c r="AJ754" s="97" t="s">
        <v>79</v>
      </c>
      <c r="AK754" s="97" t="s">
        <v>79</v>
      </c>
    </row>
    <row r="755" ht="15.75" customHeight="1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  <c r="AC755" s="96"/>
      <c r="AD755" s="96"/>
      <c r="AE755" s="96"/>
      <c r="AF755" s="96"/>
      <c r="AG755" s="96"/>
      <c r="AH755" s="97" t="s">
        <v>79</v>
      </c>
      <c r="AI755" s="97" t="s">
        <v>79</v>
      </c>
      <c r="AJ755" s="97" t="s">
        <v>79</v>
      </c>
      <c r="AK755" s="97" t="s">
        <v>79</v>
      </c>
    </row>
    <row r="756" ht="15.75" customHeight="1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  <c r="AC756" s="96"/>
      <c r="AD756" s="96"/>
      <c r="AE756" s="96"/>
      <c r="AF756" s="96"/>
      <c r="AG756" s="96"/>
      <c r="AH756" s="97" t="s">
        <v>79</v>
      </c>
      <c r="AI756" s="97" t="s">
        <v>79</v>
      </c>
      <c r="AJ756" s="97" t="s">
        <v>79</v>
      </c>
      <c r="AK756" s="97" t="s">
        <v>79</v>
      </c>
    </row>
    <row r="757" ht="15.75" customHeight="1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  <c r="AC757" s="96"/>
      <c r="AD757" s="96"/>
      <c r="AE757" s="96"/>
      <c r="AF757" s="96"/>
      <c r="AG757" s="96"/>
      <c r="AH757" s="97" t="s">
        <v>79</v>
      </c>
      <c r="AI757" s="97" t="s">
        <v>79</v>
      </c>
      <c r="AJ757" s="97" t="s">
        <v>79</v>
      </c>
      <c r="AK757" s="97" t="s">
        <v>79</v>
      </c>
    </row>
    <row r="758" ht="15.75" customHeight="1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  <c r="AC758" s="96"/>
      <c r="AD758" s="96"/>
      <c r="AE758" s="96"/>
      <c r="AF758" s="96"/>
      <c r="AG758" s="96"/>
      <c r="AH758" s="97" t="s">
        <v>79</v>
      </c>
      <c r="AI758" s="97" t="s">
        <v>79</v>
      </c>
      <c r="AJ758" s="97" t="s">
        <v>79</v>
      </c>
      <c r="AK758" s="97" t="s">
        <v>79</v>
      </c>
    </row>
    <row r="759" ht="15.75" customHeight="1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  <c r="AC759" s="96"/>
      <c r="AD759" s="96"/>
      <c r="AE759" s="96"/>
      <c r="AF759" s="96"/>
      <c r="AG759" s="96"/>
      <c r="AH759" s="97" t="s">
        <v>79</v>
      </c>
      <c r="AI759" s="97" t="s">
        <v>79</v>
      </c>
      <c r="AJ759" s="97" t="s">
        <v>79</v>
      </c>
      <c r="AK759" s="97" t="s">
        <v>79</v>
      </c>
    </row>
    <row r="760" ht="15.75" customHeight="1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  <c r="AC760" s="96"/>
      <c r="AD760" s="96"/>
      <c r="AE760" s="96"/>
      <c r="AF760" s="96"/>
      <c r="AG760" s="96"/>
      <c r="AH760" s="97" t="s">
        <v>79</v>
      </c>
      <c r="AI760" s="97" t="s">
        <v>79</v>
      </c>
      <c r="AJ760" s="97" t="s">
        <v>79</v>
      </c>
      <c r="AK760" s="97" t="s">
        <v>79</v>
      </c>
    </row>
    <row r="761" ht="15.75" customHeight="1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  <c r="AC761" s="96"/>
      <c r="AD761" s="96"/>
      <c r="AE761" s="96"/>
      <c r="AF761" s="96"/>
      <c r="AG761" s="96"/>
      <c r="AH761" s="97" t="s">
        <v>79</v>
      </c>
      <c r="AI761" s="97" t="s">
        <v>79</v>
      </c>
      <c r="AJ761" s="97" t="s">
        <v>79</v>
      </c>
      <c r="AK761" s="97" t="s">
        <v>79</v>
      </c>
    </row>
    <row r="762" ht="15.75" customHeight="1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  <c r="AC762" s="96"/>
      <c r="AD762" s="96"/>
      <c r="AE762" s="96"/>
      <c r="AF762" s="96"/>
      <c r="AG762" s="96"/>
      <c r="AH762" s="97" t="s">
        <v>79</v>
      </c>
      <c r="AI762" s="97" t="s">
        <v>79</v>
      </c>
      <c r="AJ762" s="97" t="s">
        <v>79</v>
      </c>
      <c r="AK762" s="97" t="s">
        <v>79</v>
      </c>
    </row>
    <row r="763" ht="15.75" customHeight="1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  <c r="AD763" s="96"/>
      <c r="AE763" s="96"/>
      <c r="AF763" s="96"/>
      <c r="AG763" s="96"/>
      <c r="AH763" s="97" t="s">
        <v>79</v>
      </c>
      <c r="AI763" s="97" t="s">
        <v>79</v>
      </c>
      <c r="AJ763" s="97" t="s">
        <v>79</v>
      </c>
      <c r="AK763" s="97" t="s">
        <v>79</v>
      </c>
    </row>
    <row r="764" ht="15.75" customHeight="1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  <c r="AC764" s="96"/>
      <c r="AD764" s="96"/>
      <c r="AE764" s="96"/>
      <c r="AF764" s="96"/>
      <c r="AG764" s="96"/>
      <c r="AH764" s="97" t="s">
        <v>79</v>
      </c>
      <c r="AI764" s="97" t="s">
        <v>79</v>
      </c>
      <c r="AJ764" s="97" t="s">
        <v>79</v>
      </c>
      <c r="AK764" s="97" t="s">
        <v>79</v>
      </c>
    </row>
    <row r="765" ht="15.75" customHeight="1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  <c r="AD765" s="96"/>
      <c r="AE765" s="96"/>
      <c r="AF765" s="96"/>
      <c r="AG765" s="96"/>
      <c r="AH765" s="97" t="s">
        <v>79</v>
      </c>
      <c r="AI765" s="97" t="s">
        <v>79</v>
      </c>
      <c r="AJ765" s="97" t="s">
        <v>79</v>
      </c>
      <c r="AK765" s="97" t="s">
        <v>79</v>
      </c>
    </row>
    <row r="766" ht="15.75" customHeight="1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  <c r="AD766" s="96"/>
      <c r="AE766" s="96"/>
      <c r="AF766" s="96"/>
      <c r="AG766" s="96"/>
      <c r="AH766" s="97" t="s">
        <v>79</v>
      </c>
      <c r="AI766" s="97" t="s">
        <v>79</v>
      </c>
      <c r="AJ766" s="97" t="s">
        <v>79</v>
      </c>
      <c r="AK766" s="97" t="s">
        <v>79</v>
      </c>
    </row>
    <row r="767" ht="15.75" customHeight="1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  <c r="AD767" s="96"/>
      <c r="AE767" s="96"/>
      <c r="AF767" s="96"/>
      <c r="AG767" s="96"/>
      <c r="AH767" s="97" t="s">
        <v>79</v>
      </c>
      <c r="AI767" s="97" t="s">
        <v>79</v>
      </c>
      <c r="AJ767" s="97" t="s">
        <v>79</v>
      </c>
      <c r="AK767" s="97" t="s">
        <v>79</v>
      </c>
    </row>
    <row r="768" ht="15.75" customHeight="1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  <c r="AD768" s="96"/>
      <c r="AE768" s="96"/>
      <c r="AF768" s="96"/>
      <c r="AG768" s="96"/>
      <c r="AH768" s="97" t="s">
        <v>79</v>
      </c>
      <c r="AI768" s="97" t="s">
        <v>79</v>
      </c>
      <c r="AJ768" s="97" t="s">
        <v>79</v>
      </c>
      <c r="AK768" s="97" t="s">
        <v>79</v>
      </c>
    </row>
    <row r="769" ht="15.75" customHeight="1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  <c r="AD769" s="96"/>
      <c r="AE769" s="96"/>
      <c r="AF769" s="96"/>
      <c r="AG769" s="96"/>
      <c r="AH769" s="97" t="s">
        <v>79</v>
      </c>
      <c r="AI769" s="97" t="s">
        <v>79</v>
      </c>
      <c r="AJ769" s="97" t="s">
        <v>79</v>
      </c>
      <c r="AK769" s="97" t="s">
        <v>79</v>
      </c>
    </row>
    <row r="770" ht="15.75" customHeight="1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  <c r="AD770" s="96"/>
      <c r="AE770" s="96"/>
      <c r="AF770" s="96"/>
      <c r="AG770" s="96"/>
      <c r="AH770" s="97" t="s">
        <v>79</v>
      </c>
      <c r="AI770" s="97" t="s">
        <v>79</v>
      </c>
      <c r="AJ770" s="97" t="s">
        <v>79</v>
      </c>
      <c r="AK770" s="97" t="s">
        <v>79</v>
      </c>
    </row>
    <row r="771" ht="15.75" customHeight="1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  <c r="AD771" s="96"/>
      <c r="AE771" s="96"/>
      <c r="AF771" s="96"/>
      <c r="AG771" s="96"/>
      <c r="AH771" s="97" t="s">
        <v>79</v>
      </c>
      <c r="AI771" s="97" t="s">
        <v>79</v>
      </c>
      <c r="AJ771" s="97" t="s">
        <v>79</v>
      </c>
      <c r="AK771" s="97" t="s">
        <v>79</v>
      </c>
    </row>
    <row r="772" ht="15.75" customHeight="1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  <c r="AD772" s="96"/>
      <c r="AE772" s="96"/>
      <c r="AF772" s="96"/>
      <c r="AG772" s="96"/>
      <c r="AH772" s="97" t="s">
        <v>79</v>
      </c>
      <c r="AI772" s="97" t="s">
        <v>79</v>
      </c>
      <c r="AJ772" s="97" t="s">
        <v>79</v>
      </c>
      <c r="AK772" s="97" t="s">
        <v>79</v>
      </c>
    </row>
    <row r="773" ht="15.75" customHeight="1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  <c r="AD773" s="96"/>
      <c r="AE773" s="96"/>
      <c r="AF773" s="96"/>
      <c r="AG773" s="96"/>
      <c r="AH773" s="97" t="s">
        <v>79</v>
      </c>
      <c r="AI773" s="97" t="s">
        <v>79</v>
      </c>
      <c r="AJ773" s="97" t="s">
        <v>79</v>
      </c>
      <c r="AK773" s="97" t="s">
        <v>79</v>
      </c>
    </row>
    <row r="774" ht="15.75" customHeight="1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  <c r="AD774" s="96"/>
      <c r="AE774" s="96"/>
      <c r="AF774" s="96"/>
      <c r="AG774" s="96"/>
      <c r="AH774" s="97" t="s">
        <v>79</v>
      </c>
      <c r="AI774" s="97" t="s">
        <v>79</v>
      </c>
      <c r="AJ774" s="97" t="s">
        <v>79</v>
      </c>
      <c r="AK774" s="97" t="s">
        <v>79</v>
      </c>
    </row>
    <row r="775" ht="15.75" customHeight="1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  <c r="AD775" s="96"/>
      <c r="AE775" s="96"/>
      <c r="AF775" s="96"/>
      <c r="AG775" s="96"/>
      <c r="AH775" s="97" t="s">
        <v>79</v>
      </c>
      <c r="AI775" s="97" t="s">
        <v>79</v>
      </c>
      <c r="AJ775" s="97" t="s">
        <v>79</v>
      </c>
      <c r="AK775" s="97" t="s">
        <v>79</v>
      </c>
    </row>
    <row r="776" ht="15.75" customHeight="1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  <c r="AD776" s="96"/>
      <c r="AE776" s="96"/>
      <c r="AF776" s="96"/>
      <c r="AG776" s="96"/>
      <c r="AH776" s="97" t="s">
        <v>79</v>
      </c>
      <c r="AI776" s="97" t="s">
        <v>79</v>
      </c>
      <c r="AJ776" s="97" t="s">
        <v>79</v>
      </c>
      <c r="AK776" s="97" t="s">
        <v>79</v>
      </c>
    </row>
    <row r="777" ht="15.75" customHeight="1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  <c r="AD777" s="96"/>
      <c r="AE777" s="96"/>
      <c r="AF777" s="96"/>
      <c r="AG777" s="96"/>
      <c r="AH777" s="97" t="s">
        <v>79</v>
      </c>
      <c r="AI777" s="97" t="s">
        <v>79</v>
      </c>
      <c r="AJ777" s="97" t="s">
        <v>79</v>
      </c>
      <c r="AK777" s="97" t="s">
        <v>79</v>
      </c>
    </row>
    <row r="778" ht="15.75" customHeight="1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  <c r="AD778" s="96"/>
      <c r="AE778" s="96"/>
      <c r="AF778" s="96"/>
      <c r="AG778" s="96"/>
      <c r="AH778" s="97" t="s">
        <v>79</v>
      </c>
      <c r="AI778" s="97" t="s">
        <v>79</v>
      </c>
      <c r="AJ778" s="97" t="s">
        <v>79</v>
      </c>
      <c r="AK778" s="97" t="s">
        <v>79</v>
      </c>
    </row>
    <row r="779" ht="15.75" customHeight="1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  <c r="AC779" s="96"/>
      <c r="AD779" s="96"/>
      <c r="AE779" s="96"/>
      <c r="AF779" s="96"/>
      <c r="AG779" s="96"/>
      <c r="AH779" s="97" t="s">
        <v>79</v>
      </c>
      <c r="AI779" s="97" t="s">
        <v>79</v>
      </c>
      <c r="AJ779" s="97" t="s">
        <v>79</v>
      </c>
      <c r="AK779" s="97" t="s">
        <v>79</v>
      </c>
    </row>
    <row r="780" ht="15.75" customHeight="1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  <c r="AC780" s="96"/>
      <c r="AD780" s="96"/>
      <c r="AE780" s="96"/>
      <c r="AF780" s="96"/>
      <c r="AG780" s="96"/>
      <c r="AH780" s="97" t="s">
        <v>79</v>
      </c>
      <c r="AI780" s="97" t="s">
        <v>79</v>
      </c>
      <c r="AJ780" s="97" t="s">
        <v>79</v>
      </c>
      <c r="AK780" s="97" t="s">
        <v>79</v>
      </c>
    </row>
    <row r="781" ht="15.75" customHeight="1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  <c r="AC781" s="96"/>
      <c r="AD781" s="96"/>
      <c r="AE781" s="96"/>
      <c r="AF781" s="96"/>
      <c r="AG781" s="96"/>
      <c r="AH781" s="97" t="s">
        <v>79</v>
      </c>
      <c r="AI781" s="97" t="s">
        <v>79</v>
      </c>
      <c r="AJ781" s="97" t="s">
        <v>79</v>
      </c>
      <c r="AK781" s="97" t="s">
        <v>79</v>
      </c>
    </row>
    <row r="782" ht="15.75" customHeight="1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  <c r="AC782" s="96"/>
      <c r="AD782" s="96"/>
      <c r="AE782" s="96"/>
      <c r="AF782" s="96"/>
      <c r="AG782" s="96"/>
      <c r="AH782" s="97" t="s">
        <v>79</v>
      </c>
      <c r="AI782" s="97" t="s">
        <v>79</v>
      </c>
      <c r="AJ782" s="97" t="s">
        <v>79</v>
      </c>
      <c r="AK782" s="97" t="s">
        <v>79</v>
      </c>
    </row>
    <row r="783" ht="15.75" customHeight="1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  <c r="AC783" s="96"/>
      <c r="AD783" s="96"/>
      <c r="AE783" s="96"/>
      <c r="AF783" s="96"/>
      <c r="AG783" s="96"/>
      <c r="AH783" s="97" t="s">
        <v>79</v>
      </c>
      <c r="AI783" s="97" t="s">
        <v>79</v>
      </c>
      <c r="AJ783" s="97" t="s">
        <v>79</v>
      </c>
      <c r="AK783" s="97" t="s">
        <v>79</v>
      </c>
    </row>
    <row r="784" ht="15.75" customHeight="1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  <c r="AC784" s="96"/>
      <c r="AD784" s="96"/>
      <c r="AE784" s="96"/>
      <c r="AF784" s="96"/>
      <c r="AG784" s="96"/>
      <c r="AH784" s="97" t="s">
        <v>79</v>
      </c>
      <c r="AI784" s="97" t="s">
        <v>79</v>
      </c>
      <c r="AJ784" s="97" t="s">
        <v>79</v>
      </c>
      <c r="AK784" s="97" t="s">
        <v>79</v>
      </c>
    </row>
    <row r="785" ht="15.75" customHeight="1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  <c r="AD785" s="96"/>
      <c r="AE785" s="96"/>
      <c r="AF785" s="96"/>
      <c r="AG785" s="96"/>
      <c r="AH785" s="97" t="s">
        <v>79</v>
      </c>
      <c r="AI785" s="97" t="s">
        <v>79</v>
      </c>
      <c r="AJ785" s="97" t="s">
        <v>79</v>
      </c>
      <c r="AK785" s="97" t="s">
        <v>79</v>
      </c>
    </row>
    <row r="786" ht="15.75" customHeight="1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  <c r="AD786" s="96"/>
      <c r="AE786" s="96"/>
      <c r="AF786" s="96"/>
      <c r="AG786" s="96"/>
      <c r="AH786" s="97" t="s">
        <v>79</v>
      </c>
      <c r="AI786" s="97" t="s">
        <v>79</v>
      </c>
      <c r="AJ786" s="97" t="s">
        <v>79</v>
      </c>
      <c r="AK786" s="97" t="s">
        <v>79</v>
      </c>
    </row>
    <row r="787" ht="15.75" customHeight="1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  <c r="AD787" s="96"/>
      <c r="AE787" s="96"/>
      <c r="AF787" s="96"/>
      <c r="AG787" s="96"/>
      <c r="AH787" s="97" t="s">
        <v>79</v>
      </c>
      <c r="AI787" s="97" t="s">
        <v>79</v>
      </c>
      <c r="AJ787" s="97" t="s">
        <v>79</v>
      </c>
      <c r="AK787" s="97" t="s">
        <v>79</v>
      </c>
    </row>
    <row r="788" ht="15.75" customHeight="1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  <c r="AC788" s="96"/>
      <c r="AD788" s="96"/>
      <c r="AE788" s="96"/>
      <c r="AF788" s="96"/>
      <c r="AG788" s="96"/>
      <c r="AH788" s="97" t="s">
        <v>79</v>
      </c>
      <c r="AI788" s="97" t="s">
        <v>79</v>
      </c>
      <c r="AJ788" s="97" t="s">
        <v>79</v>
      </c>
      <c r="AK788" s="97" t="s">
        <v>79</v>
      </c>
    </row>
    <row r="789" ht="15.75" customHeight="1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  <c r="AC789" s="96"/>
      <c r="AD789" s="96"/>
      <c r="AE789" s="96"/>
      <c r="AF789" s="96"/>
      <c r="AG789" s="96"/>
      <c r="AH789" s="97" t="s">
        <v>79</v>
      </c>
      <c r="AI789" s="97" t="s">
        <v>79</v>
      </c>
      <c r="AJ789" s="97" t="s">
        <v>79</v>
      </c>
      <c r="AK789" s="97" t="s">
        <v>79</v>
      </c>
    </row>
    <row r="790" ht="15.75" customHeight="1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  <c r="AC790" s="96"/>
      <c r="AD790" s="96"/>
      <c r="AE790" s="96"/>
      <c r="AF790" s="96"/>
      <c r="AG790" s="96"/>
      <c r="AH790" s="97" t="s">
        <v>79</v>
      </c>
      <c r="AI790" s="97" t="s">
        <v>79</v>
      </c>
      <c r="AJ790" s="97" t="s">
        <v>79</v>
      </c>
      <c r="AK790" s="97" t="s">
        <v>79</v>
      </c>
    </row>
    <row r="791" ht="15.75" customHeight="1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  <c r="AC791" s="96"/>
      <c r="AD791" s="96"/>
      <c r="AE791" s="96"/>
      <c r="AF791" s="96"/>
      <c r="AG791" s="96"/>
      <c r="AH791" s="97" t="s">
        <v>79</v>
      </c>
      <c r="AI791" s="97" t="s">
        <v>79</v>
      </c>
      <c r="AJ791" s="97" t="s">
        <v>79</v>
      </c>
      <c r="AK791" s="97" t="s">
        <v>79</v>
      </c>
    </row>
    <row r="792" ht="15.75" customHeight="1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  <c r="AC792" s="96"/>
      <c r="AD792" s="96"/>
      <c r="AE792" s="96"/>
      <c r="AF792" s="96"/>
      <c r="AG792" s="96"/>
      <c r="AH792" s="97" t="s">
        <v>79</v>
      </c>
      <c r="AI792" s="97" t="s">
        <v>79</v>
      </c>
      <c r="AJ792" s="97" t="s">
        <v>79</v>
      </c>
      <c r="AK792" s="97" t="s">
        <v>79</v>
      </c>
    </row>
    <row r="793" ht="15.75" customHeight="1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  <c r="AC793" s="96"/>
      <c r="AD793" s="96"/>
      <c r="AE793" s="96"/>
      <c r="AF793" s="96"/>
      <c r="AG793" s="96"/>
      <c r="AH793" s="97" t="s">
        <v>79</v>
      </c>
      <c r="AI793" s="97" t="s">
        <v>79</v>
      </c>
      <c r="AJ793" s="97" t="s">
        <v>79</v>
      </c>
      <c r="AK793" s="97" t="s">
        <v>79</v>
      </c>
    </row>
    <row r="794" ht="15.75" customHeight="1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  <c r="AC794" s="96"/>
      <c r="AD794" s="96"/>
      <c r="AE794" s="96"/>
      <c r="AF794" s="96"/>
      <c r="AG794" s="96"/>
      <c r="AH794" s="97" t="s">
        <v>79</v>
      </c>
      <c r="AI794" s="97" t="s">
        <v>79</v>
      </c>
      <c r="AJ794" s="97" t="s">
        <v>79</v>
      </c>
      <c r="AK794" s="97" t="s">
        <v>79</v>
      </c>
    </row>
    <row r="795" ht="15.75" customHeight="1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  <c r="AC795" s="96"/>
      <c r="AD795" s="96"/>
      <c r="AE795" s="96"/>
      <c r="AF795" s="96"/>
      <c r="AG795" s="96"/>
      <c r="AH795" s="97" t="s">
        <v>79</v>
      </c>
      <c r="AI795" s="97" t="s">
        <v>79</v>
      </c>
      <c r="AJ795" s="97" t="s">
        <v>79</v>
      </c>
      <c r="AK795" s="97" t="s">
        <v>79</v>
      </c>
    </row>
    <row r="796" ht="15.75" customHeight="1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  <c r="AC796" s="96"/>
      <c r="AD796" s="96"/>
      <c r="AE796" s="96"/>
      <c r="AF796" s="96"/>
      <c r="AG796" s="96"/>
      <c r="AH796" s="97" t="s">
        <v>79</v>
      </c>
      <c r="AI796" s="97" t="s">
        <v>79</v>
      </c>
      <c r="AJ796" s="97" t="s">
        <v>79</v>
      </c>
      <c r="AK796" s="97" t="s">
        <v>79</v>
      </c>
    </row>
    <row r="797" ht="15.75" customHeight="1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  <c r="AC797" s="96"/>
      <c r="AD797" s="96"/>
      <c r="AE797" s="96"/>
      <c r="AF797" s="96"/>
      <c r="AG797" s="96"/>
      <c r="AH797" s="97" t="s">
        <v>79</v>
      </c>
      <c r="AI797" s="97" t="s">
        <v>79</v>
      </c>
      <c r="AJ797" s="97" t="s">
        <v>79</v>
      </c>
      <c r="AK797" s="97" t="s">
        <v>79</v>
      </c>
    </row>
    <row r="798" ht="15.75" customHeight="1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  <c r="AC798" s="96"/>
      <c r="AD798" s="96"/>
      <c r="AE798" s="96"/>
      <c r="AF798" s="96"/>
      <c r="AG798" s="96"/>
      <c r="AH798" s="97" t="s">
        <v>79</v>
      </c>
      <c r="AI798" s="97" t="s">
        <v>79</v>
      </c>
      <c r="AJ798" s="97" t="s">
        <v>79</v>
      </c>
      <c r="AK798" s="97" t="s">
        <v>79</v>
      </c>
    </row>
    <row r="799" ht="15.75" customHeight="1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  <c r="AC799" s="96"/>
      <c r="AD799" s="96"/>
      <c r="AE799" s="96"/>
      <c r="AF799" s="96"/>
      <c r="AG799" s="96"/>
      <c r="AH799" s="97" t="s">
        <v>79</v>
      </c>
      <c r="AI799" s="97" t="s">
        <v>79</v>
      </c>
      <c r="AJ799" s="97" t="s">
        <v>79</v>
      </c>
      <c r="AK799" s="97" t="s">
        <v>79</v>
      </c>
    </row>
    <row r="800" ht="15.75" customHeight="1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  <c r="AC800" s="96"/>
      <c r="AD800" s="96"/>
      <c r="AE800" s="96"/>
      <c r="AF800" s="96"/>
      <c r="AG800" s="96"/>
      <c r="AH800" s="97" t="s">
        <v>79</v>
      </c>
      <c r="AI800" s="97" t="s">
        <v>79</v>
      </c>
      <c r="AJ800" s="97" t="s">
        <v>79</v>
      </c>
      <c r="AK800" s="97" t="s">
        <v>79</v>
      </c>
    </row>
    <row r="801" ht="15.75" customHeight="1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  <c r="AC801" s="96"/>
      <c r="AD801" s="96"/>
      <c r="AE801" s="96"/>
      <c r="AF801" s="96"/>
      <c r="AG801" s="96"/>
      <c r="AH801" s="97" t="s">
        <v>79</v>
      </c>
      <c r="AI801" s="97" t="s">
        <v>79</v>
      </c>
      <c r="AJ801" s="97" t="s">
        <v>79</v>
      </c>
      <c r="AK801" s="97" t="s">
        <v>79</v>
      </c>
    </row>
    <row r="802" ht="15.75" customHeight="1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  <c r="AC802" s="96"/>
      <c r="AD802" s="96"/>
      <c r="AE802" s="96"/>
      <c r="AF802" s="96"/>
      <c r="AG802" s="96"/>
      <c r="AH802" s="97" t="s">
        <v>79</v>
      </c>
      <c r="AI802" s="97" t="s">
        <v>79</v>
      </c>
      <c r="AJ802" s="97" t="s">
        <v>79</v>
      </c>
      <c r="AK802" s="97" t="s">
        <v>79</v>
      </c>
    </row>
    <row r="803" ht="15.75" customHeight="1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  <c r="AC803" s="96"/>
      <c r="AD803" s="96"/>
      <c r="AE803" s="96"/>
      <c r="AF803" s="96"/>
      <c r="AG803" s="96"/>
      <c r="AH803" s="97" t="s">
        <v>79</v>
      </c>
      <c r="AI803" s="97" t="s">
        <v>79</v>
      </c>
      <c r="AJ803" s="97" t="s">
        <v>79</v>
      </c>
      <c r="AK803" s="97" t="s">
        <v>79</v>
      </c>
    </row>
    <row r="804" ht="15.75" customHeight="1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  <c r="AC804" s="96"/>
      <c r="AD804" s="96"/>
      <c r="AE804" s="96"/>
      <c r="AF804" s="96"/>
      <c r="AG804" s="96"/>
      <c r="AH804" s="97" t="s">
        <v>79</v>
      </c>
      <c r="AI804" s="97" t="s">
        <v>79</v>
      </c>
      <c r="AJ804" s="97" t="s">
        <v>79</v>
      </c>
      <c r="AK804" s="97" t="s">
        <v>79</v>
      </c>
    </row>
    <row r="805" ht="15.75" customHeight="1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  <c r="AC805" s="96"/>
      <c r="AD805" s="96"/>
      <c r="AE805" s="96"/>
      <c r="AF805" s="96"/>
      <c r="AG805" s="96"/>
      <c r="AH805" s="97" t="s">
        <v>79</v>
      </c>
      <c r="AI805" s="97" t="s">
        <v>79</v>
      </c>
      <c r="AJ805" s="97" t="s">
        <v>79</v>
      </c>
      <c r="AK805" s="97" t="s">
        <v>79</v>
      </c>
    </row>
    <row r="806" ht="15.75" customHeight="1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  <c r="AC806" s="96"/>
      <c r="AD806" s="96"/>
      <c r="AE806" s="96"/>
      <c r="AF806" s="96"/>
      <c r="AG806" s="96"/>
      <c r="AH806" s="97" t="s">
        <v>79</v>
      </c>
      <c r="AI806" s="97" t="s">
        <v>79</v>
      </c>
      <c r="AJ806" s="97" t="s">
        <v>79</v>
      </c>
      <c r="AK806" s="97" t="s">
        <v>79</v>
      </c>
    </row>
    <row r="807" ht="15.75" customHeight="1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  <c r="AC807" s="96"/>
      <c r="AD807" s="96"/>
      <c r="AE807" s="96"/>
      <c r="AF807" s="96"/>
      <c r="AG807" s="96"/>
      <c r="AH807" s="97" t="s">
        <v>79</v>
      </c>
      <c r="AI807" s="97" t="s">
        <v>79</v>
      </c>
      <c r="AJ807" s="97" t="s">
        <v>79</v>
      </c>
      <c r="AK807" s="97" t="s">
        <v>79</v>
      </c>
    </row>
    <row r="808" ht="15.75" customHeight="1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  <c r="AC808" s="96"/>
      <c r="AD808" s="96"/>
      <c r="AE808" s="96"/>
      <c r="AF808" s="96"/>
      <c r="AG808" s="96"/>
      <c r="AH808" s="97" t="s">
        <v>79</v>
      </c>
      <c r="AI808" s="97" t="s">
        <v>79</v>
      </c>
      <c r="AJ808" s="97" t="s">
        <v>79</v>
      </c>
      <c r="AK808" s="97" t="s">
        <v>79</v>
      </c>
    </row>
    <row r="809" ht="15.75" customHeight="1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  <c r="AC809" s="96"/>
      <c r="AD809" s="96"/>
      <c r="AE809" s="96"/>
      <c r="AF809" s="96"/>
      <c r="AG809" s="96"/>
      <c r="AH809" s="97" t="s">
        <v>79</v>
      </c>
      <c r="AI809" s="97" t="s">
        <v>79</v>
      </c>
      <c r="AJ809" s="97" t="s">
        <v>79</v>
      </c>
      <c r="AK809" s="97" t="s">
        <v>79</v>
      </c>
    </row>
    <row r="810" ht="15.75" customHeight="1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  <c r="AC810" s="96"/>
      <c r="AD810" s="96"/>
      <c r="AE810" s="96"/>
      <c r="AF810" s="96"/>
      <c r="AG810" s="96"/>
      <c r="AH810" s="97" t="s">
        <v>79</v>
      </c>
      <c r="AI810" s="97" t="s">
        <v>79</v>
      </c>
      <c r="AJ810" s="97" t="s">
        <v>79</v>
      </c>
      <c r="AK810" s="97" t="s">
        <v>79</v>
      </c>
    </row>
    <row r="811" ht="15.75" customHeight="1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  <c r="AC811" s="96"/>
      <c r="AD811" s="96"/>
      <c r="AE811" s="96"/>
      <c r="AF811" s="96"/>
      <c r="AG811" s="96"/>
      <c r="AH811" s="97" t="s">
        <v>79</v>
      </c>
      <c r="AI811" s="97" t="s">
        <v>79</v>
      </c>
      <c r="AJ811" s="97" t="s">
        <v>79</v>
      </c>
      <c r="AK811" s="97" t="s">
        <v>79</v>
      </c>
    </row>
    <row r="812" ht="15.75" customHeight="1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  <c r="AC812" s="96"/>
      <c r="AD812" s="96"/>
      <c r="AE812" s="96"/>
      <c r="AF812" s="96"/>
      <c r="AG812" s="96"/>
      <c r="AH812" s="97" t="s">
        <v>79</v>
      </c>
      <c r="AI812" s="97" t="s">
        <v>79</v>
      </c>
      <c r="AJ812" s="97" t="s">
        <v>79</v>
      </c>
      <c r="AK812" s="97" t="s">
        <v>79</v>
      </c>
    </row>
    <row r="813" ht="15.75" customHeight="1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  <c r="AC813" s="96"/>
      <c r="AD813" s="96"/>
      <c r="AE813" s="96"/>
      <c r="AF813" s="96"/>
      <c r="AG813" s="96"/>
      <c r="AH813" s="97" t="s">
        <v>79</v>
      </c>
      <c r="AI813" s="97" t="s">
        <v>79</v>
      </c>
      <c r="AJ813" s="97" t="s">
        <v>79</v>
      </c>
      <c r="AK813" s="97" t="s">
        <v>79</v>
      </c>
    </row>
    <row r="814" ht="15.75" customHeight="1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  <c r="AC814" s="96"/>
      <c r="AD814" s="96"/>
      <c r="AE814" s="96"/>
      <c r="AF814" s="96"/>
      <c r="AG814" s="96"/>
      <c r="AH814" s="97" t="s">
        <v>79</v>
      </c>
      <c r="AI814" s="97" t="s">
        <v>79</v>
      </c>
      <c r="AJ814" s="97" t="s">
        <v>79</v>
      </c>
      <c r="AK814" s="97" t="s">
        <v>79</v>
      </c>
    </row>
    <row r="815" ht="15.75" customHeight="1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  <c r="AC815" s="96"/>
      <c r="AD815" s="96"/>
      <c r="AE815" s="96"/>
      <c r="AF815" s="96"/>
      <c r="AG815" s="96"/>
      <c r="AH815" s="97" t="s">
        <v>79</v>
      </c>
      <c r="AI815" s="97" t="s">
        <v>79</v>
      </c>
      <c r="AJ815" s="97" t="s">
        <v>79</v>
      </c>
      <c r="AK815" s="97" t="s">
        <v>79</v>
      </c>
    </row>
    <row r="816" ht="15.75" customHeight="1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  <c r="AC816" s="96"/>
      <c r="AD816" s="96"/>
      <c r="AE816" s="96"/>
      <c r="AF816" s="96"/>
      <c r="AG816" s="96"/>
      <c r="AH816" s="97" t="s">
        <v>79</v>
      </c>
      <c r="AI816" s="97" t="s">
        <v>79</v>
      </c>
      <c r="AJ816" s="97" t="s">
        <v>79</v>
      </c>
      <c r="AK816" s="97" t="s">
        <v>79</v>
      </c>
    </row>
    <row r="817" ht="15.75" customHeight="1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  <c r="AC817" s="96"/>
      <c r="AD817" s="96"/>
      <c r="AE817" s="96"/>
      <c r="AF817" s="96"/>
      <c r="AG817" s="96"/>
      <c r="AH817" s="97" t="s">
        <v>79</v>
      </c>
      <c r="AI817" s="97" t="s">
        <v>79</v>
      </c>
      <c r="AJ817" s="97" t="s">
        <v>79</v>
      </c>
      <c r="AK817" s="97" t="s">
        <v>79</v>
      </c>
    </row>
    <row r="818" ht="15.75" customHeight="1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  <c r="AC818" s="96"/>
      <c r="AD818" s="96"/>
      <c r="AE818" s="96"/>
      <c r="AF818" s="96"/>
      <c r="AG818" s="96"/>
      <c r="AH818" s="97" t="s">
        <v>79</v>
      </c>
      <c r="AI818" s="97" t="s">
        <v>79</v>
      </c>
      <c r="AJ818" s="97" t="s">
        <v>79</v>
      </c>
      <c r="AK818" s="97" t="s">
        <v>79</v>
      </c>
    </row>
    <row r="819" ht="15.75" customHeight="1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  <c r="AC819" s="96"/>
      <c r="AD819" s="96"/>
      <c r="AE819" s="96"/>
      <c r="AF819" s="96"/>
      <c r="AG819" s="96"/>
      <c r="AH819" s="97" t="s">
        <v>79</v>
      </c>
      <c r="AI819" s="97" t="s">
        <v>79</v>
      </c>
      <c r="AJ819" s="97" t="s">
        <v>79</v>
      </c>
      <c r="AK819" s="97" t="s">
        <v>79</v>
      </c>
    </row>
    <row r="820" ht="15.75" customHeight="1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  <c r="AC820" s="96"/>
      <c r="AD820" s="96"/>
      <c r="AE820" s="96"/>
      <c r="AF820" s="96"/>
      <c r="AG820" s="96"/>
      <c r="AH820" s="97" t="s">
        <v>79</v>
      </c>
      <c r="AI820" s="97" t="s">
        <v>79</v>
      </c>
      <c r="AJ820" s="97" t="s">
        <v>79</v>
      </c>
      <c r="AK820" s="97" t="s">
        <v>79</v>
      </c>
    </row>
    <row r="821" ht="15.75" customHeight="1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  <c r="AC821" s="96"/>
      <c r="AD821" s="96"/>
      <c r="AE821" s="96"/>
      <c r="AF821" s="96"/>
      <c r="AG821" s="96"/>
      <c r="AH821" s="97" t="s">
        <v>79</v>
      </c>
      <c r="AI821" s="97" t="s">
        <v>79</v>
      </c>
      <c r="AJ821" s="97" t="s">
        <v>79</v>
      </c>
      <c r="AK821" s="97" t="s">
        <v>79</v>
      </c>
    </row>
    <row r="822" ht="15.75" customHeight="1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  <c r="AC822" s="96"/>
      <c r="AD822" s="96"/>
      <c r="AE822" s="96"/>
      <c r="AF822" s="96"/>
      <c r="AG822" s="96"/>
      <c r="AH822" s="97" t="s">
        <v>79</v>
      </c>
      <c r="AI822" s="97" t="s">
        <v>79</v>
      </c>
      <c r="AJ822" s="97" t="s">
        <v>79</v>
      </c>
      <c r="AK822" s="97" t="s">
        <v>79</v>
      </c>
    </row>
    <row r="823" ht="15.75" customHeight="1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  <c r="AC823" s="96"/>
      <c r="AD823" s="96"/>
      <c r="AE823" s="96"/>
      <c r="AF823" s="96"/>
      <c r="AG823" s="96"/>
      <c r="AH823" s="97" t="s">
        <v>79</v>
      </c>
      <c r="AI823" s="97" t="s">
        <v>79</v>
      </c>
      <c r="AJ823" s="97" t="s">
        <v>79</v>
      </c>
      <c r="AK823" s="97" t="s">
        <v>79</v>
      </c>
    </row>
    <row r="824" ht="15.75" customHeight="1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  <c r="AC824" s="96"/>
      <c r="AD824" s="96"/>
      <c r="AE824" s="96"/>
      <c r="AF824" s="96"/>
      <c r="AG824" s="96"/>
      <c r="AH824" s="97" t="s">
        <v>79</v>
      </c>
      <c r="AI824" s="97" t="s">
        <v>79</v>
      </c>
      <c r="AJ824" s="97" t="s">
        <v>79</v>
      </c>
      <c r="AK824" s="97" t="s">
        <v>79</v>
      </c>
    </row>
    <row r="825" ht="15.75" customHeight="1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  <c r="AC825" s="96"/>
      <c r="AD825" s="96"/>
      <c r="AE825" s="96"/>
      <c r="AF825" s="96"/>
      <c r="AG825" s="96"/>
      <c r="AH825" s="97" t="s">
        <v>79</v>
      </c>
      <c r="AI825" s="97" t="s">
        <v>79</v>
      </c>
      <c r="AJ825" s="97" t="s">
        <v>79</v>
      </c>
      <c r="AK825" s="97" t="s">
        <v>79</v>
      </c>
    </row>
    <row r="826" ht="15.75" customHeight="1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  <c r="AC826" s="96"/>
      <c r="AD826" s="96"/>
      <c r="AE826" s="96"/>
      <c r="AF826" s="96"/>
      <c r="AG826" s="96"/>
      <c r="AH826" s="97" t="s">
        <v>79</v>
      </c>
      <c r="AI826" s="97" t="s">
        <v>79</v>
      </c>
      <c r="AJ826" s="97" t="s">
        <v>79</v>
      </c>
      <c r="AK826" s="97" t="s">
        <v>79</v>
      </c>
    </row>
    <row r="827" ht="15.75" customHeight="1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  <c r="AC827" s="96"/>
      <c r="AD827" s="96"/>
      <c r="AE827" s="96"/>
      <c r="AF827" s="96"/>
      <c r="AG827" s="96"/>
      <c r="AH827" s="97" t="s">
        <v>79</v>
      </c>
      <c r="AI827" s="97" t="s">
        <v>79</v>
      </c>
      <c r="AJ827" s="97" t="s">
        <v>79</v>
      </c>
      <c r="AK827" s="97" t="s">
        <v>79</v>
      </c>
    </row>
    <row r="828" ht="15.75" customHeight="1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  <c r="AC828" s="96"/>
      <c r="AD828" s="96"/>
      <c r="AE828" s="96"/>
      <c r="AF828" s="96"/>
      <c r="AG828" s="96"/>
      <c r="AH828" s="97" t="s">
        <v>79</v>
      </c>
      <c r="AI828" s="97" t="s">
        <v>79</v>
      </c>
      <c r="AJ828" s="97" t="s">
        <v>79</v>
      </c>
      <c r="AK828" s="97" t="s">
        <v>79</v>
      </c>
    </row>
    <row r="829" ht="15.75" customHeight="1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  <c r="AC829" s="96"/>
      <c r="AD829" s="96"/>
      <c r="AE829" s="96"/>
      <c r="AF829" s="96"/>
      <c r="AG829" s="96"/>
      <c r="AH829" s="97" t="s">
        <v>79</v>
      </c>
      <c r="AI829" s="97" t="s">
        <v>79</v>
      </c>
      <c r="AJ829" s="97" t="s">
        <v>79</v>
      </c>
      <c r="AK829" s="97" t="s">
        <v>79</v>
      </c>
    </row>
    <row r="830" ht="15.75" customHeight="1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  <c r="AC830" s="96"/>
      <c r="AD830" s="96"/>
      <c r="AE830" s="96"/>
      <c r="AF830" s="96"/>
      <c r="AG830" s="96"/>
      <c r="AH830" s="97" t="s">
        <v>79</v>
      </c>
      <c r="AI830" s="97" t="s">
        <v>79</v>
      </c>
      <c r="AJ830" s="97" t="s">
        <v>79</v>
      </c>
      <c r="AK830" s="97" t="s">
        <v>79</v>
      </c>
    </row>
    <row r="831" ht="15.75" customHeight="1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  <c r="AC831" s="96"/>
      <c r="AD831" s="96"/>
      <c r="AE831" s="96"/>
      <c r="AF831" s="96"/>
      <c r="AG831" s="96"/>
      <c r="AH831" s="97" t="s">
        <v>79</v>
      </c>
      <c r="AI831" s="97" t="s">
        <v>79</v>
      </c>
      <c r="AJ831" s="97" t="s">
        <v>79</v>
      </c>
      <c r="AK831" s="97" t="s">
        <v>79</v>
      </c>
    </row>
    <row r="832" ht="15.75" customHeight="1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  <c r="AC832" s="96"/>
      <c r="AD832" s="96"/>
      <c r="AE832" s="96"/>
      <c r="AF832" s="96"/>
      <c r="AG832" s="96"/>
      <c r="AH832" s="97" t="s">
        <v>79</v>
      </c>
      <c r="AI832" s="97" t="s">
        <v>79</v>
      </c>
      <c r="AJ832" s="97" t="s">
        <v>79</v>
      </c>
      <c r="AK832" s="97" t="s">
        <v>79</v>
      </c>
    </row>
    <row r="833" ht="15.75" customHeight="1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  <c r="AC833" s="96"/>
      <c r="AD833" s="96"/>
      <c r="AE833" s="96"/>
      <c r="AF833" s="96"/>
      <c r="AG833" s="96"/>
      <c r="AH833" s="97" t="s">
        <v>79</v>
      </c>
      <c r="AI833" s="97" t="s">
        <v>79</v>
      </c>
      <c r="AJ833" s="97" t="s">
        <v>79</v>
      </c>
      <c r="AK833" s="97" t="s">
        <v>79</v>
      </c>
    </row>
    <row r="834" ht="15.75" customHeight="1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  <c r="AC834" s="96"/>
      <c r="AD834" s="96"/>
      <c r="AE834" s="96"/>
      <c r="AF834" s="96"/>
      <c r="AG834" s="96"/>
      <c r="AH834" s="97" t="s">
        <v>79</v>
      </c>
      <c r="AI834" s="97" t="s">
        <v>79</v>
      </c>
      <c r="AJ834" s="97" t="s">
        <v>79</v>
      </c>
      <c r="AK834" s="97" t="s">
        <v>79</v>
      </c>
    </row>
    <row r="835" ht="15.75" customHeight="1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  <c r="AC835" s="96"/>
      <c r="AD835" s="96"/>
      <c r="AE835" s="96"/>
      <c r="AF835" s="96"/>
      <c r="AG835" s="96"/>
      <c r="AH835" s="97" t="s">
        <v>79</v>
      </c>
      <c r="AI835" s="97" t="s">
        <v>79</v>
      </c>
      <c r="AJ835" s="97" t="s">
        <v>79</v>
      </c>
      <c r="AK835" s="97" t="s">
        <v>79</v>
      </c>
    </row>
    <row r="836" ht="15.75" customHeight="1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  <c r="AC836" s="96"/>
      <c r="AD836" s="96"/>
      <c r="AE836" s="96"/>
      <c r="AF836" s="96"/>
      <c r="AG836" s="96"/>
      <c r="AH836" s="97" t="s">
        <v>79</v>
      </c>
      <c r="AI836" s="97" t="s">
        <v>79</v>
      </c>
      <c r="AJ836" s="97" t="s">
        <v>79</v>
      </c>
      <c r="AK836" s="97" t="s">
        <v>79</v>
      </c>
    </row>
    <row r="837" ht="15.75" customHeight="1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  <c r="AC837" s="96"/>
      <c r="AD837" s="96"/>
      <c r="AE837" s="96"/>
      <c r="AF837" s="96"/>
      <c r="AG837" s="96"/>
      <c r="AH837" s="97" t="s">
        <v>79</v>
      </c>
      <c r="AI837" s="97" t="s">
        <v>79</v>
      </c>
      <c r="AJ837" s="97" t="s">
        <v>79</v>
      </c>
      <c r="AK837" s="97" t="s">
        <v>79</v>
      </c>
    </row>
    <row r="838" ht="15.75" customHeight="1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  <c r="AC838" s="96"/>
      <c r="AD838" s="96"/>
      <c r="AE838" s="96"/>
      <c r="AF838" s="96"/>
      <c r="AG838" s="96"/>
      <c r="AH838" s="97" t="s">
        <v>79</v>
      </c>
      <c r="AI838" s="97" t="s">
        <v>79</v>
      </c>
      <c r="AJ838" s="97" t="s">
        <v>79</v>
      </c>
      <c r="AK838" s="97" t="s">
        <v>79</v>
      </c>
    </row>
    <row r="839" ht="15.75" customHeight="1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  <c r="AC839" s="96"/>
      <c r="AD839" s="96"/>
      <c r="AE839" s="96"/>
      <c r="AF839" s="96"/>
      <c r="AG839" s="96"/>
      <c r="AH839" s="97" t="s">
        <v>79</v>
      </c>
      <c r="AI839" s="97" t="s">
        <v>79</v>
      </c>
      <c r="AJ839" s="97" t="s">
        <v>79</v>
      </c>
      <c r="AK839" s="97" t="s">
        <v>79</v>
      </c>
    </row>
    <row r="840" ht="15.75" customHeight="1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  <c r="AC840" s="96"/>
      <c r="AD840" s="96"/>
      <c r="AE840" s="96"/>
      <c r="AF840" s="96"/>
      <c r="AG840" s="96"/>
      <c r="AH840" s="97" t="s">
        <v>79</v>
      </c>
      <c r="AI840" s="97" t="s">
        <v>79</v>
      </c>
      <c r="AJ840" s="97" t="s">
        <v>79</v>
      </c>
      <c r="AK840" s="97" t="s">
        <v>79</v>
      </c>
    </row>
    <row r="841" ht="15.75" customHeight="1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  <c r="AC841" s="96"/>
      <c r="AD841" s="96"/>
      <c r="AE841" s="96"/>
      <c r="AF841" s="96"/>
      <c r="AG841" s="96"/>
      <c r="AH841" s="97" t="s">
        <v>79</v>
      </c>
      <c r="AI841" s="97" t="s">
        <v>79</v>
      </c>
      <c r="AJ841" s="97" t="s">
        <v>79</v>
      </c>
      <c r="AK841" s="97" t="s">
        <v>79</v>
      </c>
    </row>
    <row r="842" ht="15.75" customHeight="1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  <c r="AC842" s="96"/>
      <c r="AD842" s="96"/>
      <c r="AE842" s="96"/>
      <c r="AF842" s="96"/>
      <c r="AG842" s="96"/>
      <c r="AH842" s="97" t="s">
        <v>79</v>
      </c>
      <c r="AI842" s="97" t="s">
        <v>79</v>
      </c>
      <c r="AJ842" s="97" t="s">
        <v>79</v>
      </c>
      <c r="AK842" s="97" t="s">
        <v>79</v>
      </c>
    </row>
    <row r="843" ht="15.75" customHeight="1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  <c r="AC843" s="96"/>
      <c r="AD843" s="96"/>
      <c r="AE843" s="96"/>
      <c r="AF843" s="96"/>
      <c r="AG843" s="96"/>
      <c r="AH843" s="97" t="s">
        <v>79</v>
      </c>
      <c r="AI843" s="97" t="s">
        <v>79</v>
      </c>
      <c r="AJ843" s="97" t="s">
        <v>79</v>
      </c>
      <c r="AK843" s="97" t="s">
        <v>79</v>
      </c>
    </row>
    <row r="844" ht="15.75" customHeight="1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  <c r="AC844" s="96"/>
      <c r="AD844" s="96"/>
      <c r="AE844" s="96"/>
      <c r="AF844" s="96"/>
      <c r="AG844" s="96"/>
      <c r="AH844" s="97" t="s">
        <v>79</v>
      </c>
      <c r="AI844" s="97" t="s">
        <v>79</v>
      </c>
      <c r="AJ844" s="97" t="s">
        <v>79</v>
      </c>
      <c r="AK844" s="97" t="s">
        <v>79</v>
      </c>
    </row>
    <row r="845" ht="15.75" customHeight="1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  <c r="AC845" s="96"/>
      <c r="AD845" s="96"/>
      <c r="AE845" s="96"/>
      <c r="AF845" s="96"/>
      <c r="AG845" s="96"/>
      <c r="AH845" s="97" t="s">
        <v>79</v>
      </c>
      <c r="AI845" s="97" t="s">
        <v>79</v>
      </c>
      <c r="AJ845" s="97" t="s">
        <v>79</v>
      </c>
      <c r="AK845" s="97" t="s">
        <v>79</v>
      </c>
    </row>
    <row r="846" ht="15.75" customHeight="1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  <c r="AC846" s="96"/>
      <c r="AD846" s="96"/>
      <c r="AE846" s="96"/>
      <c r="AF846" s="96"/>
      <c r="AG846" s="96"/>
      <c r="AH846" s="97" t="s">
        <v>79</v>
      </c>
      <c r="AI846" s="97" t="s">
        <v>79</v>
      </c>
      <c r="AJ846" s="97" t="s">
        <v>79</v>
      </c>
      <c r="AK846" s="97" t="s">
        <v>79</v>
      </c>
    </row>
    <row r="847" ht="15.75" customHeight="1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  <c r="AC847" s="96"/>
      <c r="AD847" s="96"/>
      <c r="AE847" s="96"/>
      <c r="AF847" s="96"/>
      <c r="AG847" s="96"/>
      <c r="AH847" s="97" t="s">
        <v>79</v>
      </c>
      <c r="AI847" s="97" t="s">
        <v>79</v>
      </c>
      <c r="AJ847" s="97" t="s">
        <v>79</v>
      </c>
      <c r="AK847" s="97" t="s">
        <v>79</v>
      </c>
    </row>
    <row r="848" ht="15.75" customHeight="1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  <c r="AC848" s="96"/>
      <c r="AD848" s="96"/>
      <c r="AE848" s="96"/>
      <c r="AF848" s="96"/>
      <c r="AG848" s="96"/>
      <c r="AH848" s="97" t="s">
        <v>79</v>
      </c>
      <c r="AI848" s="97" t="s">
        <v>79</v>
      </c>
      <c r="AJ848" s="97" t="s">
        <v>79</v>
      </c>
      <c r="AK848" s="97" t="s">
        <v>79</v>
      </c>
    </row>
    <row r="849" ht="15.75" customHeight="1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  <c r="AC849" s="96"/>
      <c r="AD849" s="96"/>
      <c r="AE849" s="96"/>
      <c r="AF849" s="96"/>
      <c r="AG849" s="96"/>
      <c r="AH849" s="97" t="s">
        <v>79</v>
      </c>
      <c r="AI849" s="97" t="s">
        <v>79</v>
      </c>
      <c r="AJ849" s="97" t="s">
        <v>79</v>
      </c>
      <c r="AK849" s="97" t="s">
        <v>79</v>
      </c>
    </row>
    <row r="850" ht="15.75" customHeight="1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  <c r="AC850" s="96"/>
      <c r="AD850" s="96"/>
      <c r="AE850" s="96"/>
      <c r="AF850" s="96"/>
      <c r="AG850" s="96"/>
      <c r="AH850" s="97" t="s">
        <v>79</v>
      </c>
      <c r="AI850" s="97" t="s">
        <v>79</v>
      </c>
      <c r="AJ850" s="97" t="s">
        <v>79</v>
      </c>
      <c r="AK850" s="97" t="s">
        <v>79</v>
      </c>
    </row>
    <row r="851" ht="15.75" customHeight="1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  <c r="AC851" s="96"/>
      <c r="AD851" s="96"/>
      <c r="AE851" s="96"/>
      <c r="AF851" s="96"/>
      <c r="AG851" s="96"/>
      <c r="AH851" s="97" t="s">
        <v>79</v>
      </c>
      <c r="AI851" s="97" t="s">
        <v>79</v>
      </c>
      <c r="AJ851" s="97" t="s">
        <v>79</v>
      </c>
      <c r="AK851" s="97" t="s">
        <v>79</v>
      </c>
    </row>
    <row r="852" ht="15.75" customHeight="1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  <c r="AC852" s="96"/>
      <c r="AD852" s="96"/>
      <c r="AE852" s="96"/>
      <c r="AF852" s="96"/>
      <c r="AG852" s="96"/>
      <c r="AH852" s="97" t="s">
        <v>79</v>
      </c>
      <c r="AI852" s="97" t="s">
        <v>79</v>
      </c>
      <c r="AJ852" s="97" t="s">
        <v>79</v>
      </c>
      <c r="AK852" s="97" t="s">
        <v>79</v>
      </c>
    </row>
    <row r="853" ht="15.75" customHeight="1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  <c r="AC853" s="96"/>
      <c r="AD853" s="96"/>
      <c r="AE853" s="96"/>
      <c r="AF853" s="96"/>
      <c r="AG853" s="96"/>
      <c r="AH853" s="97" t="s">
        <v>79</v>
      </c>
      <c r="AI853" s="97" t="s">
        <v>79</v>
      </c>
      <c r="AJ853" s="97" t="s">
        <v>79</v>
      </c>
      <c r="AK853" s="97" t="s">
        <v>79</v>
      </c>
    </row>
    <row r="854" ht="15.75" customHeight="1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  <c r="AC854" s="96"/>
      <c r="AD854" s="96"/>
      <c r="AE854" s="96"/>
      <c r="AF854" s="96"/>
      <c r="AG854" s="96"/>
      <c r="AH854" s="97" t="s">
        <v>79</v>
      </c>
      <c r="AI854" s="97" t="s">
        <v>79</v>
      </c>
      <c r="AJ854" s="97" t="s">
        <v>79</v>
      </c>
      <c r="AK854" s="97" t="s">
        <v>79</v>
      </c>
    </row>
    <row r="855" ht="15.75" customHeight="1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  <c r="AC855" s="96"/>
      <c r="AD855" s="96"/>
      <c r="AE855" s="96"/>
      <c r="AF855" s="96"/>
      <c r="AG855" s="96"/>
      <c r="AH855" s="97" t="s">
        <v>79</v>
      </c>
      <c r="AI855" s="97" t="s">
        <v>79</v>
      </c>
      <c r="AJ855" s="97" t="s">
        <v>79</v>
      </c>
      <c r="AK855" s="97" t="s">
        <v>79</v>
      </c>
    </row>
    <row r="856" ht="15.75" customHeight="1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  <c r="AC856" s="96"/>
      <c r="AD856" s="96"/>
      <c r="AE856" s="96"/>
      <c r="AF856" s="96"/>
      <c r="AG856" s="96"/>
      <c r="AH856" s="97" t="s">
        <v>79</v>
      </c>
      <c r="AI856" s="97" t="s">
        <v>79</v>
      </c>
      <c r="AJ856" s="97" t="s">
        <v>79</v>
      </c>
      <c r="AK856" s="97" t="s">
        <v>79</v>
      </c>
    </row>
    <row r="857" ht="15.75" customHeight="1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  <c r="AC857" s="96"/>
      <c r="AD857" s="96"/>
      <c r="AE857" s="96"/>
      <c r="AF857" s="96"/>
      <c r="AG857" s="96"/>
      <c r="AH857" s="97" t="s">
        <v>79</v>
      </c>
      <c r="AI857" s="97" t="s">
        <v>79</v>
      </c>
      <c r="AJ857" s="97" t="s">
        <v>79</v>
      </c>
      <c r="AK857" s="97" t="s">
        <v>79</v>
      </c>
    </row>
    <row r="858" ht="15.75" customHeight="1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  <c r="AC858" s="96"/>
      <c r="AD858" s="96"/>
      <c r="AE858" s="96"/>
      <c r="AF858" s="96"/>
      <c r="AG858" s="96"/>
      <c r="AH858" s="97" t="s">
        <v>79</v>
      </c>
      <c r="AI858" s="97" t="s">
        <v>79</v>
      </c>
      <c r="AJ858" s="97" t="s">
        <v>79</v>
      </c>
      <c r="AK858" s="97" t="s">
        <v>79</v>
      </c>
    </row>
    <row r="859" ht="15.75" customHeight="1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  <c r="AC859" s="96"/>
      <c r="AD859" s="96"/>
      <c r="AE859" s="96"/>
      <c r="AF859" s="96"/>
      <c r="AG859" s="96"/>
      <c r="AH859" s="97" t="s">
        <v>79</v>
      </c>
      <c r="AI859" s="97" t="s">
        <v>79</v>
      </c>
      <c r="AJ859" s="97" t="s">
        <v>79</v>
      </c>
      <c r="AK859" s="97" t="s">
        <v>79</v>
      </c>
    </row>
    <row r="860" ht="15.75" customHeight="1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  <c r="AC860" s="96"/>
      <c r="AD860" s="96"/>
      <c r="AE860" s="96"/>
      <c r="AF860" s="96"/>
      <c r="AG860" s="96"/>
      <c r="AH860" s="97" t="s">
        <v>79</v>
      </c>
      <c r="AI860" s="97" t="s">
        <v>79</v>
      </c>
      <c r="AJ860" s="97" t="s">
        <v>79</v>
      </c>
      <c r="AK860" s="97" t="s">
        <v>79</v>
      </c>
    </row>
    <row r="861" ht="15.75" customHeight="1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  <c r="AC861" s="96"/>
      <c r="AD861" s="96"/>
      <c r="AE861" s="96"/>
      <c r="AF861" s="96"/>
      <c r="AG861" s="96"/>
      <c r="AH861" s="97" t="s">
        <v>79</v>
      </c>
      <c r="AI861" s="97" t="s">
        <v>79</v>
      </c>
      <c r="AJ861" s="97" t="s">
        <v>79</v>
      </c>
      <c r="AK861" s="97" t="s">
        <v>79</v>
      </c>
    </row>
    <row r="862" ht="15.75" customHeight="1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  <c r="AC862" s="96"/>
      <c r="AD862" s="96"/>
      <c r="AE862" s="96"/>
      <c r="AF862" s="96"/>
      <c r="AG862" s="96"/>
      <c r="AH862" s="97" t="s">
        <v>79</v>
      </c>
      <c r="AI862" s="97" t="s">
        <v>79</v>
      </c>
      <c r="AJ862" s="97" t="s">
        <v>79</v>
      </c>
      <c r="AK862" s="97" t="s">
        <v>79</v>
      </c>
    </row>
    <row r="863" ht="15.75" customHeight="1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  <c r="AC863" s="96"/>
      <c r="AD863" s="96"/>
      <c r="AE863" s="96"/>
      <c r="AF863" s="96"/>
      <c r="AG863" s="96"/>
      <c r="AH863" s="97" t="s">
        <v>79</v>
      </c>
      <c r="AI863" s="97" t="s">
        <v>79</v>
      </c>
      <c r="AJ863" s="97" t="s">
        <v>79</v>
      </c>
      <c r="AK863" s="97" t="s">
        <v>79</v>
      </c>
    </row>
    <row r="864" ht="15.75" customHeight="1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  <c r="AC864" s="96"/>
      <c r="AD864" s="96"/>
      <c r="AE864" s="96"/>
      <c r="AF864" s="96"/>
      <c r="AG864" s="96"/>
      <c r="AH864" s="97" t="s">
        <v>79</v>
      </c>
      <c r="AI864" s="97" t="s">
        <v>79</v>
      </c>
      <c r="AJ864" s="97" t="s">
        <v>79</v>
      </c>
      <c r="AK864" s="97" t="s">
        <v>79</v>
      </c>
    </row>
    <row r="865" ht="15.75" customHeight="1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  <c r="AC865" s="96"/>
      <c r="AD865" s="96"/>
      <c r="AE865" s="96"/>
      <c r="AF865" s="96"/>
      <c r="AG865" s="96"/>
      <c r="AH865" s="97" t="s">
        <v>79</v>
      </c>
      <c r="AI865" s="97" t="s">
        <v>79</v>
      </c>
      <c r="AJ865" s="97" t="s">
        <v>79</v>
      </c>
      <c r="AK865" s="97" t="s">
        <v>79</v>
      </c>
    </row>
    <row r="866" ht="15.75" customHeight="1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  <c r="AC866" s="96"/>
      <c r="AD866" s="96"/>
      <c r="AE866" s="96"/>
      <c r="AF866" s="96"/>
      <c r="AG866" s="96"/>
      <c r="AH866" s="97" t="s">
        <v>79</v>
      </c>
      <c r="AI866" s="97" t="s">
        <v>79</v>
      </c>
      <c r="AJ866" s="97" t="s">
        <v>79</v>
      </c>
      <c r="AK866" s="97" t="s">
        <v>79</v>
      </c>
    </row>
    <row r="867" ht="15.75" customHeight="1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  <c r="AC867" s="96"/>
      <c r="AD867" s="96"/>
      <c r="AE867" s="96"/>
      <c r="AF867" s="96"/>
      <c r="AG867" s="96"/>
      <c r="AH867" s="97" t="s">
        <v>79</v>
      </c>
      <c r="AI867" s="97" t="s">
        <v>79</v>
      </c>
      <c r="AJ867" s="97" t="s">
        <v>79</v>
      </c>
      <c r="AK867" s="97" t="s">
        <v>79</v>
      </c>
    </row>
    <row r="868" ht="15.75" customHeight="1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  <c r="AC868" s="96"/>
      <c r="AD868" s="96"/>
      <c r="AE868" s="96"/>
      <c r="AF868" s="96"/>
      <c r="AG868" s="96"/>
      <c r="AH868" s="97" t="s">
        <v>79</v>
      </c>
      <c r="AI868" s="97" t="s">
        <v>79</v>
      </c>
      <c r="AJ868" s="97" t="s">
        <v>79</v>
      </c>
      <c r="AK868" s="97" t="s">
        <v>79</v>
      </c>
    </row>
    <row r="869" ht="15.75" customHeight="1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  <c r="AC869" s="96"/>
      <c r="AD869" s="96"/>
      <c r="AE869" s="96"/>
      <c r="AF869" s="96"/>
      <c r="AG869" s="96"/>
      <c r="AH869" s="97" t="s">
        <v>79</v>
      </c>
      <c r="AI869" s="97" t="s">
        <v>79</v>
      </c>
      <c r="AJ869" s="97" t="s">
        <v>79</v>
      </c>
      <c r="AK869" s="97" t="s">
        <v>79</v>
      </c>
    </row>
    <row r="870" ht="15.75" customHeight="1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  <c r="AC870" s="96"/>
      <c r="AD870" s="96"/>
      <c r="AE870" s="96"/>
      <c r="AF870" s="96"/>
      <c r="AG870" s="96"/>
      <c r="AH870" s="97" t="s">
        <v>79</v>
      </c>
      <c r="AI870" s="97" t="s">
        <v>79</v>
      </c>
      <c r="AJ870" s="97" t="s">
        <v>79</v>
      </c>
      <c r="AK870" s="97" t="s">
        <v>79</v>
      </c>
    </row>
    <row r="871" ht="15.75" customHeight="1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  <c r="AC871" s="96"/>
      <c r="AD871" s="96"/>
      <c r="AE871" s="96"/>
      <c r="AF871" s="96"/>
      <c r="AG871" s="96"/>
      <c r="AH871" s="97" t="s">
        <v>79</v>
      </c>
      <c r="AI871" s="97" t="s">
        <v>79</v>
      </c>
      <c r="AJ871" s="97" t="s">
        <v>79</v>
      </c>
      <c r="AK871" s="97" t="s">
        <v>79</v>
      </c>
    </row>
    <row r="872" ht="15.75" customHeight="1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  <c r="AC872" s="96"/>
      <c r="AD872" s="96"/>
      <c r="AE872" s="96"/>
      <c r="AF872" s="96"/>
      <c r="AG872" s="96"/>
      <c r="AH872" s="97" t="s">
        <v>79</v>
      </c>
      <c r="AI872" s="97" t="s">
        <v>79</v>
      </c>
      <c r="AJ872" s="97" t="s">
        <v>79</v>
      </c>
      <c r="AK872" s="97" t="s">
        <v>79</v>
      </c>
    </row>
    <row r="873" ht="15.75" customHeight="1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  <c r="AC873" s="96"/>
      <c r="AD873" s="96"/>
      <c r="AE873" s="96"/>
      <c r="AF873" s="96"/>
      <c r="AG873" s="96"/>
      <c r="AH873" s="97" t="s">
        <v>79</v>
      </c>
      <c r="AI873" s="97" t="s">
        <v>79</v>
      </c>
      <c r="AJ873" s="97" t="s">
        <v>79</v>
      </c>
      <c r="AK873" s="97" t="s">
        <v>79</v>
      </c>
    </row>
    <row r="874" ht="15.75" customHeight="1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  <c r="AC874" s="96"/>
      <c r="AD874" s="96"/>
      <c r="AE874" s="96"/>
      <c r="AF874" s="96"/>
      <c r="AG874" s="96"/>
      <c r="AH874" s="97" t="s">
        <v>79</v>
      </c>
      <c r="AI874" s="97" t="s">
        <v>79</v>
      </c>
      <c r="AJ874" s="97" t="s">
        <v>79</v>
      </c>
      <c r="AK874" s="97" t="s">
        <v>79</v>
      </c>
    </row>
    <row r="875" ht="15.75" customHeight="1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  <c r="AD875" s="96"/>
      <c r="AE875" s="96"/>
      <c r="AF875" s="96"/>
      <c r="AG875" s="96"/>
      <c r="AH875" s="97" t="s">
        <v>79</v>
      </c>
      <c r="AI875" s="97" t="s">
        <v>79</v>
      </c>
      <c r="AJ875" s="97" t="s">
        <v>79</v>
      </c>
      <c r="AK875" s="97" t="s">
        <v>79</v>
      </c>
    </row>
    <row r="876" ht="15.75" customHeight="1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  <c r="AD876" s="96"/>
      <c r="AE876" s="96"/>
      <c r="AF876" s="96"/>
      <c r="AG876" s="96"/>
      <c r="AH876" s="97" t="s">
        <v>79</v>
      </c>
      <c r="AI876" s="97" t="s">
        <v>79</v>
      </c>
      <c r="AJ876" s="97" t="s">
        <v>79</v>
      </c>
      <c r="AK876" s="97" t="s">
        <v>79</v>
      </c>
    </row>
    <row r="877" ht="15.75" customHeight="1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  <c r="AC877" s="96"/>
      <c r="AD877" s="96"/>
      <c r="AE877" s="96"/>
      <c r="AF877" s="96"/>
      <c r="AG877" s="96"/>
      <c r="AH877" s="97" t="s">
        <v>79</v>
      </c>
      <c r="AI877" s="97" t="s">
        <v>79</v>
      </c>
      <c r="AJ877" s="97" t="s">
        <v>79</v>
      </c>
      <c r="AK877" s="97" t="s">
        <v>79</v>
      </c>
    </row>
    <row r="878" ht="15.75" customHeight="1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  <c r="AC878" s="96"/>
      <c r="AD878" s="96"/>
      <c r="AE878" s="96"/>
      <c r="AF878" s="96"/>
      <c r="AG878" s="96"/>
      <c r="AH878" s="97" t="s">
        <v>79</v>
      </c>
      <c r="AI878" s="97" t="s">
        <v>79</v>
      </c>
      <c r="AJ878" s="97" t="s">
        <v>79</v>
      </c>
      <c r="AK878" s="97" t="s">
        <v>79</v>
      </c>
    </row>
    <row r="879" ht="15.75" customHeight="1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  <c r="AC879" s="96"/>
      <c r="AD879" s="96"/>
      <c r="AE879" s="96"/>
      <c r="AF879" s="96"/>
      <c r="AG879" s="96"/>
      <c r="AH879" s="97" t="s">
        <v>79</v>
      </c>
      <c r="AI879" s="97" t="s">
        <v>79</v>
      </c>
      <c r="AJ879" s="97" t="s">
        <v>79</v>
      </c>
      <c r="AK879" s="97" t="s">
        <v>79</v>
      </c>
    </row>
    <row r="880" ht="15.75" customHeight="1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  <c r="AC880" s="96"/>
      <c r="AD880" s="96"/>
      <c r="AE880" s="96"/>
      <c r="AF880" s="96"/>
      <c r="AG880" s="96"/>
      <c r="AH880" s="97" t="s">
        <v>79</v>
      </c>
      <c r="AI880" s="97" t="s">
        <v>79</v>
      </c>
      <c r="AJ880" s="97" t="s">
        <v>79</v>
      </c>
      <c r="AK880" s="97" t="s">
        <v>79</v>
      </c>
    </row>
    <row r="881" ht="15.75" customHeight="1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  <c r="AC881" s="96"/>
      <c r="AD881" s="96"/>
      <c r="AE881" s="96"/>
      <c r="AF881" s="96"/>
      <c r="AG881" s="96"/>
      <c r="AH881" s="97" t="s">
        <v>79</v>
      </c>
      <c r="AI881" s="97" t="s">
        <v>79</v>
      </c>
      <c r="AJ881" s="97" t="s">
        <v>79</v>
      </c>
      <c r="AK881" s="97" t="s">
        <v>79</v>
      </c>
    </row>
    <row r="882" ht="15.75" customHeight="1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  <c r="AC882" s="96"/>
      <c r="AD882" s="96"/>
      <c r="AE882" s="96"/>
      <c r="AF882" s="96"/>
      <c r="AG882" s="96"/>
      <c r="AH882" s="97" t="s">
        <v>79</v>
      </c>
      <c r="AI882" s="97" t="s">
        <v>79</v>
      </c>
      <c r="AJ882" s="97" t="s">
        <v>79</v>
      </c>
      <c r="AK882" s="97" t="s">
        <v>79</v>
      </c>
    </row>
    <row r="883" ht="15.75" customHeight="1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  <c r="AC883" s="96"/>
      <c r="AD883" s="96"/>
      <c r="AE883" s="96"/>
      <c r="AF883" s="96"/>
      <c r="AG883" s="96"/>
      <c r="AH883" s="97" t="s">
        <v>79</v>
      </c>
      <c r="AI883" s="97" t="s">
        <v>79</v>
      </c>
      <c r="AJ883" s="97" t="s">
        <v>79</v>
      </c>
      <c r="AK883" s="97" t="s">
        <v>79</v>
      </c>
    </row>
    <row r="884" ht="15.75" customHeight="1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  <c r="AC884" s="96"/>
      <c r="AD884" s="96"/>
      <c r="AE884" s="96"/>
      <c r="AF884" s="96"/>
      <c r="AG884" s="96"/>
      <c r="AH884" s="97" t="s">
        <v>79</v>
      </c>
      <c r="AI884" s="97" t="s">
        <v>79</v>
      </c>
      <c r="AJ884" s="97" t="s">
        <v>79</v>
      </c>
      <c r="AK884" s="97" t="s">
        <v>79</v>
      </c>
    </row>
    <row r="885" ht="15.75" customHeight="1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  <c r="AC885" s="96"/>
      <c r="AD885" s="96"/>
      <c r="AE885" s="96"/>
      <c r="AF885" s="96"/>
      <c r="AG885" s="96"/>
      <c r="AH885" s="97" t="s">
        <v>79</v>
      </c>
      <c r="AI885" s="97" t="s">
        <v>79</v>
      </c>
      <c r="AJ885" s="97" t="s">
        <v>79</v>
      </c>
      <c r="AK885" s="97" t="s">
        <v>79</v>
      </c>
    </row>
    <row r="886" ht="15.75" customHeight="1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  <c r="AC886" s="96"/>
      <c r="AD886" s="96"/>
      <c r="AE886" s="96"/>
      <c r="AF886" s="96"/>
      <c r="AG886" s="96"/>
      <c r="AH886" s="97" t="s">
        <v>79</v>
      </c>
      <c r="AI886" s="97" t="s">
        <v>79</v>
      </c>
      <c r="AJ886" s="97" t="s">
        <v>79</v>
      </c>
      <c r="AK886" s="97" t="s">
        <v>79</v>
      </c>
    </row>
    <row r="887" ht="15.75" customHeight="1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  <c r="AC887" s="96"/>
      <c r="AD887" s="96"/>
      <c r="AE887" s="96"/>
      <c r="AF887" s="96"/>
      <c r="AG887" s="96"/>
      <c r="AH887" s="97" t="s">
        <v>79</v>
      </c>
      <c r="AI887" s="97" t="s">
        <v>79</v>
      </c>
      <c r="AJ887" s="97" t="s">
        <v>79</v>
      </c>
      <c r="AK887" s="97" t="s">
        <v>79</v>
      </c>
    </row>
    <row r="888" ht="15.75" customHeight="1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  <c r="AC888" s="96"/>
      <c r="AD888" s="96"/>
      <c r="AE888" s="96"/>
      <c r="AF888" s="96"/>
      <c r="AG888" s="96"/>
      <c r="AH888" s="97" t="s">
        <v>79</v>
      </c>
      <c r="AI888" s="97" t="s">
        <v>79</v>
      </c>
      <c r="AJ888" s="97" t="s">
        <v>79</v>
      </c>
      <c r="AK888" s="97" t="s">
        <v>79</v>
      </c>
    </row>
    <row r="889" ht="15.75" customHeight="1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  <c r="AC889" s="96"/>
      <c r="AD889" s="96"/>
      <c r="AE889" s="96"/>
      <c r="AF889" s="96"/>
      <c r="AG889" s="96"/>
      <c r="AH889" s="97" t="s">
        <v>79</v>
      </c>
      <c r="AI889" s="97" t="s">
        <v>79</v>
      </c>
      <c r="AJ889" s="97" t="s">
        <v>79</v>
      </c>
      <c r="AK889" s="97" t="s">
        <v>79</v>
      </c>
    </row>
    <row r="890" ht="15.75" customHeight="1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  <c r="AC890" s="96"/>
      <c r="AD890" s="96"/>
      <c r="AE890" s="96"/>
      <c r="AF890" s="96"/>
      <c r="AG890" s="96"/>
      <c r="AH890" s="97" t="s">
        <v>79</v>
      </c>
      <c r="AI890" s="97" t="s">
        <v>79</v>
      </c>
      <c r="AJ890" s="97" t="s">
        <v>79</v>
      </c>
      <c r="AK890" s="97" t="s">
        <v>79</v>
      </c>
    </row>
    <row r="891" ht="15.75" customHeight="1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  <c r="AC891" s="96"/>
      <c r="AD891" s="96"/>
      <c r="AE891" s="96"/>
      <c r="AF891" s="96"/>
      <c r="AG891" s="96"/>
      <c r="AH891" s="97" t="s">
        <v>79</v>
      </c>
      <c r="AI891" s="97" t="s">
        <v>79</v>
      </c>
      <c r="AJ891" s="97" t="s">
        <v>79</v>
      </c>
      <c r="AK891" s="97" t="s">
        <v>79</v>
      </c>
    </row>
    <row r="892" ht="15.75" customHeight="1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  <c r="AC892" s="96"/>
      <c r="AD892" s="96"/>
      <c r="AE892" s="96"/>
      <c r="AF892" s="96"/>
      <c r="AG892" s="96"/>
      <c r="AH892" s="97" t="s">
        <v>79</v>
      </c>
      <c r="AI892" s="97" t="s">
        <v>79</v>
      </c>
      <c r="AJ892" s="97" t="s">
        <v>79</v>
      </c>
      <c r="AK892" s="97" t="s">
        <v>79</v>
      </c>
    </row>
    <row r="893" ht="15.75" customHeight="1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  <c r="AC893" s="96"/>
      <c r="AD893" s="96"/>
      <c r="AE893" s="96"/>
      <c r="AF893" s="96"/>
      <c r="AG893" s="96"/>
      <c r="AH893" s="97" t="s">
        <v>79</v>
      </c>
      <c r="AI893" s="97" t="s">
        <v>79</v>
      </c>
      <c r="AJ893" s="97" t="s">
        <v>79</v>
      </c>
      <c r="AK893" s="97" t="s">
        <v>79</v>
      </c>
    </row>
    <row r="894" ht="15.75" customHeight="1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  <c r="AC894" s="96"/>
      <c r="AD894" s="96"/>
      <c r="AE894" s="96"/>
      <c r="AF894" s="96"/>
      <c r="AG894" s="96"/>
      <c r="AH894" s="97" t="s">
        <v>79</v>
      </c>
      <c r="AI894" s="97" t="s">
        <v>79</v>
      </c>
      <c r="AJ894" s="97" t="s">
        <v>79</v>
      </c>
      <c r="AK894" s="97" t="s">
        <v>79</v>
      </c>
    </row>
    <row r="895" ht="15.75" customHeight="1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  <c r="AC895" s="96"/>
      <c r="AD895" s="96"/>
      <c r="AE895" s="96"/>
      <c r="AF895" s="96"/>
      <c r="AG895" s="96"/>
      <c r="AH895" s="97" t="s">
        <v>79</v>
      </c>
      <c r="AI895" s="97" t="s">
        <v>79</v>
      </c>
      <c r="AJ895" s="97" t="s">
        <v>79</v>
      </c>
      <c r="AK895" s="97" t="s">
        <v>79</v>
      </c>
    </row>
    <row r="896" ht="15.75" customHeight="1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  <c r="AC896" s="96"/>
      <c r="AD896" s="96"/>
      <c r="AE896" s="96"/>
      <c r="AF896" s="96"/>
      <c r="AG896" s="96"/>
      <c r="AH896" s="97" t="s">
        <v>79</v>
      </c>
      <c r="AI896" s="97" t="s">
        <v>79</v>
      </c>
      <c r="AJ896" s="97" t="s">
        <v>79</v>
      </c>
      <c r="AK896" s="97" t="s">
        <v>79</v>
      </c>
    </row>
    <row r="897" ht="15.75" customHeight="1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  <c r="AC897" s="96"/>
      <c r="AD897" s="96"/>
      <c r="AE897" s="96"/>
      <c r="AF897" s="96"/>
      <c r="AG897" s="96"/>
      <c r="AH897" s="97" t="s">
        <v>79</v>
      </c>
      <c r="AI897" s="97" t="s">
        <v>79</v>
      </c>
      <c r="AJ897" s="97" t="s">
        <v>79</v>
      </c>
      <c r="AK897" s="97" t="s">
        <v>79</v>
      </c>
    </row>
    <row r="898" ht="15.75" customHeight="1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  <c r="AC898" s="96"/>
      <c r="AD898" s="96"/>
      <c r="AE898" s="96"/>
      <c r="AF898" s="96"/>
      <c r="AG898" s="96"/>
      <c r="AH898" s="97" t="s">
        <v>79</v>
      </c>
      <c r="AI898" s="97" t="s">
        <v>79</v>
      </c>
      <c r="AJ898" s="97" t="s">
        <v>79</v>
      </c>
      <c r="AK898" s="97" t="s">
        <v>79</v>
      </c>
    </row>
    <row r="899" ht="15.75" customHeight="1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  <c r="AC899" s="96"/>
      <c r="AD899" s="96"/>
      <c r="AE899" s="96"/>
      <c r="AF899" s="96"/>
      <c r="AG899" s="96"/>
      <c r="AH899" s="97" t="s">
        <v>79</v>
      </c>
      <c r="AI899" s="97" t="s">
        <v>79</v>
      </c>
      <c r="AJ899" s="97" t="s">
        <v>79</v>
      </c>
      <c r="AK899" s="97" t="s">
        <v>79</v>
      </c>
    </row>
    <row r="900" ht="15.75" customHeight="1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  <c r="AC900" s="96"/>
      <c r="AD900" s="96"/>
      <c r="AE900" s="96"/>
      <c r="AF900" s="96"/>
      <c r="AG900" s="96"/>
      <c r="AH900" s="97" t="s">
        <v>79</v>
      </c>
      <c r="AI900" s="97" t="s">
        <v>79</v>
      </c>
      <c r="AJ900" s="97" t="s">
        <v>79</v>
      </c>
      <c r="AK900" s="97" t="s">
        <v>79</v>
      </c>
    </row>
    <row r="901" ht="15.75" customHeight="1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  <c r="AC901" s="96"/>
      <c r="AD901" s="96"/>
      <c r="AE901" s="96"/>
      <c r="AF901" s="96"/>
      <c r="AG901" s="96"/>
      <c r="AH901" s="97" t="s">
        <v>79</v>
      </c>
      <c r="AI901" s="97" t="s">
        <v>79</v>
      </c>
      <c r="AJ901" s="97" t="s">
        <v>79</v>
      </c>
      <c r="AK901" s="97" t="s">
        <v>79</v>
      </c>
    </row>
    <row r="902" ht="15.75" customHeight="1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  <c r="AC902" s="96"/>
      <c r="AD902" s="96"/>
      <c r="AE902" s="96"/>
      <c r="AF902" s="96"/>
      <c r="AG902" s="96"/>
      <c r="AH902" s="97" t="s">
        <v>79</v>
      </c>
      <c r="AI902" s="97" t="s">
        <v>79</v>
      </c>
      <c r="AJ902" s="97" t="s">
        <v>79</v>
      </c>
      <c r="AK902" s="97" t="s">
        <v>79</v>
      </c>
    </row>
    <row r="903" ht="15.75" customHeight="1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  <c r="AC903" s="96"/>
      <c r="AD903" s="96"/>
      <c r="AE903" s="96"/>
      <c r="AF903" s="96"/>
      <c r="AG903" s="96"/>
      <c r="AH903" s="97" t="s">
        <v>79</v>
      </c>
      <c r="AI903" s="97" t="s">
        <v>79</v>
      </c>
      <c r="AJ903" s="97" t="s">
        <v>79</v>
      </c>
      <c r="AK903" s="97" t="s">
        <v>79</v>
      </c>
    </row>
    <row r="904" ht="15.75" customHeight="1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  <c r="AC904" s="96"/>
      <c r="AD904" s="96"/>
      <c r="AE904" s="96"/>
      <c r="AF904" s="96"/>
      <c r="AG904" s="96"/>
      <c r="AH904" s="97" t="s">
        <v>79</v>
      </c>
      <c r="AI904" s="97" t="s">
        <v>79</v>
      </c>
      <c r="AJ904" s="97" t="s">
        <v>79</v>
      </c>
      <c r="AK904" s="97" t="s">
        <v>79</v>
      </c>
    </row>
    <row r="905" ht="15.75" customHeight="1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  <c r="AC905" s="96"/>
      <c r="AD905" s="96"/>
      <c r="AE905" s="96"/>
      <c r="AF905" s="96"/>
      <c r="AG905" s="96"/>
      <c r="AH905" s="97" t="s">
        <v>79</v>
      </c>
      <c r="AI905" s="97" t="s">
        <v>79</v>
      </c>
      <c r="AJ905" s="97" t="s">
        <v>79</v>
      </c>
      <c r="AK905" s="97" t="s">
        <v>79</v>
      </c>
    </row>
    <row r="906" ht="15.75" customHeight="1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  <c r="AC906" s="96"/>
      <c r="AD906" s="96"/>
      <c r="AE906" s="96"/>
      <c r="AF906" s="96"/>
      <c r="AG906" s="96"/>
      <c r="AH906" s="97" t="s">
        <v>79</v>
      </c>
      <c r="AI906" s="97" t="s">
        <v>79</v>
      </c>
      <c r="AJ906" s="97" t="s">
        <v>79</v>
      </c>
      <c r="AK906" s="97" t="s">
        <v>79</v>
      </c>
    </row>
    <row r="907" ht="15.75" customHeight="1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  <c r="AC907" s="96"/>
      <c r="AD907" s="96"/>
      <c r="AE907" s="96"/>
      <c r="AF907" s="96"/>
      <c r="AG907" s="96"/>
      <c r="AH907" s="97" t="s">
        <v>79</v>
      </c>
      <c r="AI907" s="97" t="s">
        <v>79</v>
      </c>
      <c r="AJ907" s="97" t="s">
        <v>79</v>
      </c>
      <c r="AK907" s="97" t="s">
        <v>79</v>
      </c>
    </row>
    <row r="908" ht="15.75" customHeight="1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  <c r="AC908" s="96"/>
      <c r="AD908" s="96"/>
      <c r="AE908" s="96"/>
      <c r="AF908" s="96"/>
      <c r="AG908" s="96"/>
      <c r="AH908" s="97" t="s">
        <v>79</v>
      </c>
      <c r="AI908" s="97" t="s">
        <v>79</v>
      </c>
      <c r="AJ908" s="97" t="s">
        <v>79</v>
      </c>
      <c r="AK908" s="97" t="s">
        <v>79</v>
      </c>
    </row>
    <row r="909" ht="15.75" customHeight="1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  <c r="AC909" s="96"/>
      <c r="AD909" s="96"/>
      <c r="AE909" s="96"/>
      <c r="AF909" s="96"/>
      <c r="AG909" s="96"/>
      <c r="AH909" s="97" t="s">
        <v>79</v>
      </c>
      <c r="AI909" s="97" t="s">
        <v>79</v>
      </c>
      <c r="AJ909" s="97" t="s">
        <v>79</v>
      </c>
      <c r="AK909" s="97" t="s">
        <v>79</v>
      </c>
    </row>
    <row r="910" ht="15.75" customHeight="1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  <c r="AC910" s="96"/>
      <c r="AD910" s="96"/>
      <c r="AE910" s="96"/>
      <c r="AF910" s="96"/>
      <c r="AG910" s="96"/>
      <c r="AH910" s="97" t="s">
        <v>79</v>
      </c>
      <c r="AI910" s="97" t="s">
        <v>79</v>
      </c>
      <c r="AJ910" s="97" t="s">
        <v>79</v>
      </c>
      <c r="AK910" s="97" t="s">
        <v>79</v>
      </c>
    </row>
    <row r="911" ht="15.75" customHeight="1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  <c r="AC911" s="96"/>
      <c r="AD911" s="96"/>
      <c r="AE911" s="96"/>
      <c r="AF911" s="96"/>
      <c r="AG911" s="96"/>
      <c r="AH911" s="97" t="s">
        <v>79</v>
      </c>
      <c r="AI911" s="97" t="s">
        <v>79</v>
      </c>
      <c r="AJ911" s="97" t="s">
        <v>79</v>
      </c>
      <c r="AK911" s="97" t="s">
        <v>79</v>
      </c>
    </row>
    <row r="912" ht="15.75" customHeight="1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  <c r="AC912" s="96"/>
      <c r="AD912" s="96"/>
      <c r="AE912" s="96"/>
      <c r="AF912" s="96"/>
      <c r="AG912" s="96"/>
      <c r="AH912" s="97" t="s">
        <v>79</v>
      </c>
      <c r="AI912" s="97" t="s">
        <v>79</v>
      </c>
      <c r="AJ912" s="97" t="s">
        <v>79</v>
      </c>
      <c r="AK912" s="97" t="s">
        <v>79</v>
      </c>
    </row>
    <row r="913" ht="15.75" customHeight="1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  <c r="AC913" s="96"/>
      <c r="AD913" s="96"/>
      <c r="AE913" s="96"/>
      <c r="AF913" s="96"/>
      <c r="AG913" s="96"/>
      <c r="AH913" s="97" t="s">
        <v>79</v>
      </c>
      <c r="AI913" s="97" t="s">
        <v>79</v>
      </c>
      <c r="AJ913" s="97" t="s">
        <v>79</v>
      </c>
      <c r="AK913" s="97" t="s">
        <v>79</v>
      </c>
    </row>
    <row r="914" ht="15.75" customHeight="1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  <c r="AC914" s="96"/>
      <c r="AD914" s="96"/>
      <c r="AE914" s="96"/>
      <c r="AF914" s="96"/>
      <c r="AG914" s="96"/>
      <c r="AH914" s="97" t="s">
        <v>79</v>
      </c>
      <c r="AI914" s="97" t="s">
        <v>79</v>
      </c>
      <c r="AJ914" s="97" t="s">
        <v>79</v>
      </c>
      <c r="AK914" s="97" t="s">
        <v>79</v>
      </c>
    </row>
    <row r="915" ht="15.75" customHeight="1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  <c r="AC915" s="96"/>
      <c r="AD915" s="96"/>
      <c r="AE915" s="96"/>
      <c r="AF915" s="96"/>
      <c r="AG915" s="96"/>
      <c r="AH915" s="97" t="s">
        <v>79</v>
      </c>
      <c r="AI915" s="97" t="s">
        <v>79</v>
      </c>
      <c r="AJ915" s="97" t="s">
        <v>79</v>
      </c>
      <c r="AK915" s="97" t="s">
        <v>79</v>
      </c>
    </row>
    <row r="916" ht="15.75" customHeight="1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  <c r="AC916" s="96"/>
      <c r="AD916" s="96"/>
      <c r="AE916" s="96"/>
      <c r="AF916" s="96"/>
      <c r="AG916" s="96"/>
      <c r="AH916" s="97" t="s">
        <v>79</v>
      </c>
      <c r="AI916" s="97" t="s">
        <v>79</v>
      </c>
      <c r="AJ916" s="97" t="s">
        <v>79</v>
      </c>
      <c r="AK916" s="97" t="s">
        <v>79</v>
      </c>
    </row>
    <row r="917" ht="15.75" customHeight="1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  <c r="AC917" s="96"/>
      <c r="AD917" s="96"/>
      <c r="AE917" s="96"/>
      <c r="AF917" s="96"/>
      <c r="AG917" s="96"/>
      <c r="AH917" s="97" t="s">
        <v>79</v>
      </c>
      <c r="AI917" s="97" t="s">
        <v>79</v>
      </c>
      <c r="AJ917" s="97" t="s">
        <v>79</v>
      </c>
      <c r="AK917" s="97" t="s">
        <v>79</v>
      </c>
    </row>
    <row r="918" ht="15.75" customHeight="1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  <c r="AC918" s="96"/>
      <c r="AD918" s="96"/>
      <c r="AE918" s="96"/>
      <c r="AF918" s="96"/>
      <c r="AG918" s="96"/>
      <c r="AH918" s="97" t="s">
        <v>79</v>
      </c>
      <c r="AI918" s="97" t="s">
        <v>79</v>
      </c>
      <c r="AJ918" s="97" t="s">
        <v>79</v>
      </c>
      <c r="AK918" s="97" t="s">
        <v>79</v>
      </c>
    </row>
    <row r="919" ht="15.75" customHeight="1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  <c r="AC919" s="96"/>
      <c r="AD919" s="96"/>
      <c r="AE919" s="96"/>
      <c r="AF919" s="96"/>
      <c r="AG919" s="96"/>
      <c r="AH919" s="97" t="s">
        <v>79</v>
      </c>
      <c r="AI919" s="97" t="s">
        <v>79</v>
      </c>
      <c r="AJ919" s="97" t="s">
        <v>79</v>
      </c>
      <c r="AK919" s="97" t="s">
        <v>79</v>
      </c>
    </row>
    <row r="920" ht="15.75" customHeight="1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  <c r="AC920" s="96"/>
      <c r="AD920" s="96"/>
      <c r="AE920" s="96"/>
      <c r="AF920" s="96"/>
      <c r="AG920" s="96"/>
      <c r="AH920" s="97" t="s">
        <v>79</v>
      </c>
      <c r="AI920" s="97" t="s">
        <v>79</v>
      </c>
      <c r="AJ920" s="97" t="s">
        <v>79</v>
      </c>
      <c r="AK920" s="97" t="s">
        <v>79</v>
      </c>
    </row>
    <row r="921" ht="15.75" customHeight="1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  <c r="AC921" s="96"/>
      <c r="AD921" s="96"/>
      <c r="AE921" s="96"/>
      <c r="AF921" s="96"/>
      <c r="AG921" s="96"/>
      <c r="AH921" s="97" t="s">
        <v>79</v>
      </c>
      <c r="AI921" s="97" t="s">
        <v>79</v>
      </c>
      <c r="AJ921" s="97" t="s">
        <v>79</v>
      </c>
      <c r="AK921" s="97" t="s">
        <v>79</v>
      </c>
    </row>
    <row r="922" ht="15.75" customHeight="1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  <c r="AC922" s="96"/>
      <c r="AD922" s="96"/>
      <c r="AE922" s="96"/>
      <c r="AF922" s="96"/>
      <c r="AG922" s="96"/>
      <c r="AH922" s="97" t="s">
        <v>79</v>
      </c>
      <c r="AI922" s="97" t="s">
        <v>79</v>
      </c>
      <c r="AJ922" s="97" t="s">
        <v>79</v>
      </c>
      <c r="AK922" s="97" t="s">
        <v>79</v>
      </c>
    </row>
    <row r="923" ht="15.75" customHeight="1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  <c r="AC923" s="96"/>
      <c r="AD923" s="96"/>
      <c r="AE923" s="96"/>
      <c r="AF923" s="96"/>
      <c r="AG923" s="96"/>
      <c r="AH923" s="97" t="s">
        <v>79</v>
      </c>
      <c r="AI923" s="97" t="s">
        <v>79</v>
      </c>
      <c r="AJ923" s="97" t="s">
        <v>79</v>
      </c>
      <c r="AK923" s="97" t="s">
        <v>79</v>
      </c>
    </row>
    <row r="924" ht="15.75" customHeight="1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  <c r="AC924" s="96"/>
      <c r="AD924" s="96"/>
      <c r="AE924" s="96"/>
      <c r="AF924" s="96"/>
      <c r="AG924" s="96"/>
      <c r="AH924" s="97" t="s">
        <v>79</v>
      </c>
      <c r="AI924" s="97" t="s">
        <v>79</v>
      </c>
      <c r="AJ924" s="97" t="s">
        <v>79</v>
      </c>
      <c r="AK924" s="97" t="s">
        <v>79</v>
      </c>
    </row>
    <row r="925" ht="15.75" customHeight="1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  <c r="AC925" s="96"/>
      <c r="AD925" s="96"/>
      <c r="AE925" s="96"/>
      <c r="AF925" s="96"/>
      <c r="AG925" s="96"/>
      <c r="AH925" s="97" t="s">
        <v>79</v>
      </c>
      <c r="AI925" s="97" t="s">
        <v>79</v>
      </c>
      <c r="AJ925" s="97" t="s">
        <v>79</v>
      </c>
      <c r="AK925" s="97" t="s">
        <v>79</v>
      </c>
    </row>
    <row r="926" ht="15.75" customHeight="1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  <c r="AG926" s="96"/>
      <c r="AH926" s="97" t="s">
        <v>79</v>
      </c>
      <c r="AI926" s="97" t="s">
        <v>79</v>
      </c>
      <c r="AJ926" s="97" t="s">
        <v>79</v>
      </c>
      <c r="AK926" s="97" t="s">
        <v>79</v>
      </c>
    </row>
    <row r="927" ht="15.75" customHeight="1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  <c r="AG927" s="96"/>
      <c r="AH927" s="97" t="s">
        <v>79</v>
      </c>
      <c r="AI927" s="97" t="s">
        <v>79</v>
      </c>
      <c r="AJ927" s="97" t="s">
        <v>79</v>
      </c>
      <c r="AK927" s="97" t="s">
        <v>79</v>
      </c>
    </row>
    <row r="928" ht="15.75" customHeight="1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/>
      <c r="AH928" s="97" t="s">
        <v>79</v>
      </c>
      <c r="AI928" s="97" t="s">
        <v>79</v>
      </c>
      <c r="AJ928" s="97" t="s">
        <v>79</v>
      </c>
      <c r="AK928" s="97" t="s">
        <v>79</v>
      </c>
    </row>
    <row r="929" ht="15.75" customHeight="1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  <c r="AG929" s="96"/>
      <c r="AH929" s="97" t="s">
        <v>79</v>
      </c>
      <c r="AI929" s="97" t="s">
        <v>79</v>
      </c>
      <c r="AJ929" s="97" t="s">
        <v>79</v>
      </c>
      <c r="AK929" s="97" t="s">
        <v>79</v>
      </c>
    </row>
    <row r="930" ht="15.75" customHeight="1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  <c r="AG930" s="96"/>
      <c r="AH930" s="97" t="s">
        <v>79</v>
      </c>
      <c r="AI930" s="97" t="s">
        <v>79</v>
      </c>
      <c r="AJ930" s="97" t="s">
        <v>79</v>
      </c>
      <c r="AK930" s="97" t="s">
        <v>79</v>
      </c>
    </row>
    <row r="931" ht="15.75" customHeight="1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  <c r="AG931" s="96"/>
      <c r="AH931" s="97" t="s">
        <v>79</v>
      </c>
      <c r="AI931" s="97" t="s">
        <v>79</v>
      </c>
      <c r="AJ931" s="97" t="s">
        <v>79</v>
      </c>
      <c r="AK931" s="97" t="s">
        <v>79</v>
      </c>
    </row>
    <row r="932" ht="15.75" customHeight="1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  <c r="AG932" s="96"/>
      <c r="AH932" s="97" t="s">
        <v>79</v>
      </c>
      <c r="AI932" s="97" t="s">
        <v>79</v>
      </c>
      <c r="AJ932" s="97" t="s">
        <v>79</v>
      </c>
      <c r="AK932" s="97" t="s">
        <v>79</v>
      </c>
    </row>
    <row r="933" ht="15.75" customHeight="1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  <c r="AG933" s="96"/>
      <c r="AH933" s="97" t="s">
        <v>79</v>
      </c>
      <c r="AI933" s="97" t="s">
        <v>79</v>
      </c>
      <c r="AJ933" s="97" t="s">
        <v>79</v>
      </c>
      <c r="AK933" s="97" t="s">
        <v>79</v>
      </c>
    </row>
    <row r="934" ht="15.75" customHeight="1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  <c r="AG934" s="96"/>
      <c r="AH934" s="97" t="s">
        <v>79</v>
      </c>
      <c r="AI934" s="97" t="s">
        <v>79</v>
      </c>
      <c r="AJ934" s="97" t="s">
        <v>79</v>
      </c>
      <c r="AK934" s="97" t="s">
        <v>79</v>
      </c>
    </row>
    <row r="935" ht="15.75" customHeight="1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  <c r="AC935" s="96"/>
      <c r="AD935" s="96"/>
      <c r="AE935" s="96"/>
      <c r="AF935" s="96"/>
      <c r="AG935" s="96"/>
      <c r="AH935" s="97" t="s">
        <v>79</v>
      </c>
      <c r="AI935" s="97" t="s">
        <v>79</v>
      </c>
      <c r="AJ935" s="97" t="s">
        <v>79</v>
      </c>
      <c r="AK935" s="97" t="s">
        <v>79</v>
      </c>
    </row>
    <row r="936" ht="15.75" customHeight="1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  <c r="AC936" s="96"/>
      <c r="AD936" s="96"/>
      <c r="AE936" s="96"/>
      <c r="AF936" s="96"/>
      <c r="AG936" s="96"/>
      <c r="AH936" s="97" t="s">
        <v>79</v>
      </c>
      <c r="AI936" s="97" t="s">
        <v>79</v>
      </c>
      <c r="AJ936" s="97" t="s">
        <v>79</v>
      </c>
      <c r="AK936" s="97" t="s">
        <v>79</v>
      </c>
    </row>
    <row r="937" ht="15.75" customHeight="1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  <c r="AC937" s="96"/>
      <c r="AD937" s="96"/>
      <c r="AE937" s="96"/>
      <c r="AF937" s="96"/>
      <c r="AG937" s="96"/>
      <c r="AH937" s="97" t="s">
        <v>79</v>
      </c>
      <c r="AI937" s="97" t="s">
        <v>79</v>
      </c>
      <c r="AJ937" s="97" t="s">
        <v>79</v>
      </c>
      <c r="AK937" s="97" t="s">
        <v>79</v>
      </c>
    </row>
    <row r="938" ht="15.75" customHeight="1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  <c r="AC938" s="96"/>
      <c r="AD938" s="96"/>
      <c r="AE938" s="96"/>
      <c r="AF938" s="96"/>
      <c r="AG938" s="96"/>
      <c r="AH938" s="97" t="s">
        <v>79</v>
      </c>
      <c r="AI938" s="97" t="s">
        <v>79</v>
      </c>
      <c r="AJ938" s="97" t="s">
        <v>79</v>
      </c>
      <c r="AK938" s="97" t="s">
        <v>79</v>
      </c>
    </row>
    <row r="939" ht="15.75" customHeight="1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  <c r="AC939" s="96"/>
      <c r="AD939" s="96"/>
      <c r="AE939" s="96"/>
      <c r="AF939" s="96"/>
      <c r="AG939" s="96"/>
      <c r="AH939" s="97" t="s">
        <v>79</v>
      </c>
      <c r="AI939" s="97" t="s">
        <v>79</v>
      </c>
      <c r="AJ939" s="97" t="s">
        <v>79</v>
      </c>
      <c r="AK939" s="97" t="s">
        <v>79</v>
      </c>
    </row>
    <row r="940" ht="15.75" customHeight="1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  <c r="AC940" s="96"/>
      <c r="AD940" s="96"/>
      <c r="AE940" s="96"/>
      <c r="AF940" s="96"/>
      <c r="AG940" s="96"/>
      <c r="AH940" s="97" t="s">
        <v>79</v>
      </c>
      <c r="AI940" s="97" t="s">
        <v>79</v>
      </c>
      <c r="AJ940" s="97" t="s">
        <v>79</v>
      </c>
      <c r="AK940" s="97" t="s">
        <v>79</v>
      </c>
    </row>
    <row r="941" ht="15.75" customHeight="1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  <c r="AC941" s="96"/>
      <c r="AD941" s="96"/>
      <c r="AE941" s="96"/>
      <c r="AF941" s="96"/>
      <c r="AG941" s="96"/>
      <c r="AH941" s="97" t="s">
        <v>79</v>
      </c>
      <c r="AI941" s="97" t="s">
        <v>79</v>
      </c>
      <c r="AJ941" s="97" t="s">
        <v>79</v>
      </c>
      <c r="AK941" s="97" t="s">
        <v>79</v>
      </c>
    </row>
    <row r="942" ht="15.75" customHeight="1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  <c r="AC942" s="96"/>
      <c r="AD942" s="96"/>
      <c r="AE942" s="96"/>
      <c r="AF942" s="96"/>
      <c r="AG942" s="96"/>
      <c r="AH942" s="97" t="s">
        <v>79</v>
      </c>
      <c r="AI942" s="97" t="s">
        <v>79</v>
      </c>
      <c r="AJ942" s="97" t="s">
        <v>79</v>
      </c>
      <c r="AK942" s="97" t="s">
        <v>79</v>
      </c>
    </row>
    <row r="943" ht="15.75" customHeight="1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  <c r="AC943" s="96"/>
      <c r="AD943" s="96"/>
      <c r="AE943" s="96"/>
      <c r="AF943" s="96"/>
      <c r="AG943" s="96"/>
      <c r="AH943" s="97" t="s">
        <v>79</v>
      </c>
      <c r="AI943" s="97" t="s">
        <v>79</v>
      </c>
      <c r="AJ943" s="97" t="s">
        <v>79</v>
      </c>
      <c r="AK943" s="97" t="s">
        <v>79</v>
      </c>
    </row>
    <row r="944" ht="15.75" customHeight="1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  <c r="AC944" s="96"/>
      <c r="AD944" s="96"/>
      <c r="AE944" s="96"/>
      <c r="AF944" s="96"/>
      <c r="AG944" s="96"/>
      <c r="AH944" s="97" t="s">
        <v>79</v>
      </c>
      <c r="AI944" s="97" t="s">
        <v>79</v>
      </c>
      <c r="AJ944" s="97" t="s">
        <v>79</v>
      </c>
      <c r="AK944" s="97" t="s">
        <v>79</v>
      </c>
    </row>
    <row r="945" ht="15.75" customHeight="1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  <c r="AC945" s="96"/>
      <c r="AD945" s="96"/>
      <c r="AE945" s="96"/>
      <c r="AF945" s="96"/>
      <c r="AG945" s="96"/>
      <c r="AH945" s="97" t="s">
        <v>79</v>
      </c>
      <c r="AI945" s="97" t="s">
        <v>79</v>
      </c>
      <c r="AJ945" s="97" t="s">
        <v>79</v>
      </c>
      <c r="AK945" s="97" t="s">
        <v>79</v>
      </c>
    </row>
    <row r="946" ht="15.75" customHeight="1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  <c r="AC946" s="96"/>
      <c r="AD946" s="96"/>
      <c r="AE946" s="96"/>
      <c r="AF946" s="96"/>
      <c r="AG946" s="96"/>
      <c r="AH946" s="97" t="s">
        <v>79</v>
      </c>
      <c r="AI946" s="97" t="s">
        <v>79</v>
      </c>
      <c r="AJ946" s="97" t="s">
        <v>79</v>
      </c>
      <c r="AK946" s="97" t="s">
        <v>79</v>
      </c>
    </row>
    <row r="947" ht="15.75" customHeight="1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  <c r="AC947" s="96"/>
      <c r="AD947" s="96"/>
      <c r="AE947" s="96"/>
      <c r="AF947" s="96"/>
      <c r="AG947" s="96"/>
      <c r="AH947" s="97" t="s">
        <v>79</v>
      </c>
      <c r="AI947" s="97" t="s">
        <v>79</v>
      </c>
      <c r="AJ947" s="97" t="s">
        <v>79</v>
      </c>
      <c r="AK947" s="97" t="s">
        <v>79</v>
      </c>
    </row>
    <row r="948" ht="15.75" customHeight="1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  <c r="AC948" s="96"/>
      <c r="AD948" s="96"/>
      <c r="AE948" s="96"/>
      <c r="AF948" s="96"/>
      <c r="AG948" s="96"/>
      <c r="AH948" s="97" t="s">
        <v>79</v>
      </c>
      <c r="AI948" s="97" t="s">
        <v>79</v>
      </c>
      <c r="AJ948" s="97" t="s">
        <v>79</v>
      </c>
      <c r="AK948" s="97" t="s">
        <v>79</v>
      </c>
    </row>
    <row r="949" ht="15.75" customHeight="1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  <c r="AD949" s="96"/>
      <c r="AE949" s="96"/>
      <c r="AF949" s="96"/>
      <c r="AG949" s="96"/>
      <c r="AH949" s="97" t="s">
        <v>79</v>
      </c>
      <c r="AI949" s="97" t="s">
        <v>79</v>
      </c>
      <c r="AJ949" s="97" t="s">
        <v>79</v>
      </c>
      <c r="AK949" s="97" t="s">
        <v>79</v>
      </c>
    </row>
    <row r="950" ht="15.75" customHeight="1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  <c r="AD950" s="96"/>
      <c r="AE950" s="96"/>
      <c r="AF950" s="96"/>
      <c r="AG950" s="96"/>
      <c r="AH950" s="97" t="s">
        <v>79</v>
      </c>
      <c r="AI950" s="97" t="s">
        <v>79</v>
      </c>
      <c r="AJ950" s="97" t="s">
        <v>79</v>
      </c>
      <c r="AK950" s="97" t="s">
        <v>79</v>
      </c>
    </row>
    <row r="951" ht="15.75" customHeight="1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  <c r="AD951" s="96"/>
      <c r="AE951" s="96"/>
      <c r="AF951" s="96"/>
      <c r="AG951" s="96"/>
      <c r="AH951" s="97" t="s">
        <v>79</v>
      </c>
      <c r="AI951" s="97" t="s">
        <v>79</v>
      </c>
      <c r="AJ951" s="97" t="s">
        <v>79</v>
      </c>
      <c r="AK951" s="97" t="s">
        <v>79</v>
      </c>
    </row>
    <row r="952" ht="15.75" customHeight="1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7" t="s">
        <v>79</v>
      </c>
      <c r="AI952" s="97" t="s">
        <v>79</v>
      </c>
      <c r="AJ952" s="97" t="s">
        <v>79</v>
      </c>
      <c r="AK952" s="97" t="s">
        <v>79</v>
      </c>
    </row>
    <row r="953" ht="15.75" customHeight="1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  <c r="AD953" s="96"/>
      <c r="AE953" s="96"/>
      <c r="AF953" s="96"/>
      <c r="AG953" s="96"/>
      <c r="AH953" s="97" t="s">
        <v>79</v>
      </c>
      <c r="AI953" s="97" t="s">
        <v>79</v>
      </c>
      <c r="AJ953" s="97" t="s">
        <v>79</v>
      </c>
      <c r="AK953" s="97" t="s">
        <v>79</v>
      </c>
    </row>
    <row r="954" ht="15.75" customHeight="1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7" t="s">
        <v>79</v>
      </c>
      <c r="AI954" s="97" t="s">
        <v>79</v>
      </c>
      <c r="AJ954" s="97" t="s">
        <v>79</v>
      </c>
      <c r="AK954" s="97" t="s">
        <v>79</v>
      </c>
    </row>
    <row r="955" ht="15.75" customHeight="1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  <c r="AD955" s="96"/>
      <c r="AE955" s="96"/>
      <c r="AF955" s="96"/>
      <c r="AG955" s="96"/>
      <c r="AH955" s="97" t="s">
        <v>79</v>
      </c>
      <c r="AI955" s="97" t="s">
        <v>79</v>
      </c>
      <c r="AJ955" s="97" t="s">
        <v>79</v>
      </c>
      <c r="AK955" s="97" t="s">
        <v>79</v>
      </c>
    </row>
    <row r="956" ht="15.75" customHeight="1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7" t="s">
        <v>79</v>
      </c>
      <c r="AI956" s="97" t="s">
        <v>79</v>
      </c>
      <c r="AJ956" s="97" t="s">
        <v>79</v>
      </c>
      <c r="AK956" s="97" t="s">
        <v>79</v>
      </c>
    </row>
    <row r="957" ht="15.75" customHeight="1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  <c r="AC957" s="96"/>
      <c r="AD957" s="96"/>
      <c r="AE957" s="96"/>
      <c r="AF957" s="96"/>
      <c r="AG957" s="96"/>
      <c r="AH957" s="97" t="s">
        <v>79</v>
      </c>
      <c r="AI957" s="97" t="s">
        <v>79</v>
      </c>
      <c r="AJ957" s="97" t="s">
        <v>79</v>
      </c>
      <c r="AK957" s="97" t="s">
        <v>79</v>
      </c>
    </row>
    <row r="958" ht="15.75" customHeight="1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7" t="s">
        <v>79</v>
      </c>
      <c r="AI958" s="97" t="s">
        <v>79</v>
      </c>
      <c r="AJ958" s="97" t="s">
        <v>79</v>
      </c>
      <c r="AK958" s="97" t="s">
        <v>79</v>
      </c>
    </row>
    <row r="959" ht="15.75" customHeight="1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  <c r="AC959" s="96"/>
      <c r="AD959" s="96"/>
      <c r="AE959" s="96"/>
      <c r="AF959" s="96"/>
      <c r="AG959" s="96"/>
      <c r="AH959" s="97" t="s">
        <v>79</v>
      </c>
      <c r="AI959" s="97" t="s">
        <v>79</v>
      </c>
      <c r="AJ959" s="97" t="s">
        <v>79</v>
      </c>
      <c r="AK959" s="97" t="s">
        <v>79</v>
      </c>
    </row>
    <row r="960" ht="15.75" customHeight="1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7" t="s">
        <v>79</v>
      </c>
      <c r="AI960" s="97" t="s">
        <v>79</v>
      </c>
      <c r="AJ960" s="97" t="s">
        <v>79</v>
      </c>
      <c r="AK960" s="97" t="s">
        <v>79</v>
      </c>
    </row>
    <row r="961" ht="15.75" customHeight="1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  <c r="AC961" s="96"/>
      <c r="AD961" s="96"/>
      <c r="AE961" s="96"/>
      <c r="AF961" s="96"/>
      <c r="AG961" s="96"/>
      <c r="AH961" s="97" t="s">
        <v>79</v>
      </c>
      <c r="AI961" s="97" t="s">
        <v>79</v>
      </c>
      <c r="AJ961" s="97" t="s">
        <v>79</v>
      </c>
      <c r="AK961" s="97" t="s">
        <v>79</v>
      </c>
    </row>
    <row r="962" ht="15.75" customHeight="1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7" t="s">
        <v>79</v>
      </c>
      <c r="AI962" s="97" t="s">
        <v>79</v>
      </c>
      <c r="AJ962" s="97" t="s">
        <v>79</v>
      </c>
      <c r="AK962" s="97" t="s">
        <v>79</v>
      </c>
    </row>
    <row r="963" ht="15.75" customHeight="1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  <c r="AD963" s="96"/>
      <c r="AE963" s="96"/>
      <c r="AF963" s="96"/>
      <c r="AG963" s="96"/>
      <c r="AH963" s="97" t="s">
        <v>79</v>
      </c>
      <c r="AI963" s="97" t="s">
        <v>79</v>
      </c>
      <c r="AJ963" s="97" t="s">
        <v>79</v>
      </c>
      <c r="AK963" s="97" t="s">
        <v>79</v>
      </c>
    </row>
    <row r="964" ht="15.75" customHeight="1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7" t="s">
        <v>79</v>
      </c>
      <c r="AI964" s="97" t="s">
        <v>79</v>
      </c>
      <c r="AJ964" s="97" t="s">
        <v>79</v>
      </c>
      <c r="AK964" s="97" t="s">
        <v>79</v>
      </c>
    </row>
    <row r="965" ht="15.75" customHeight="1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  <c r="AD965" s="96"/>
      <c r="AE965" s="96"/>
      <c r="AF965" s="96"/>
      <c r="AG965" s="96"/>
      <c r="AH965" s="97" t="s">
        <v>79</v>
      </c>
      <c r="AI965" s="97" t="s">
        <v>79</v>
      </c>
      <c r="AJ965" s="97" t="s">
        <v>79</v>
      </c>
      <c r="AK965" s="97" t="s">
        <v>79</v>
      </c>
    </row>
    <row r="966" ht="15.75" customHeight="1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7" t="s">
        <v>79</v>
      </c>
      <c r="AI966" s="97" t="s">
        <v>79</v>
      </c>
      <c r="AJ966" s="97" t="s">
        <v>79</v>
      </c>
      <c r="AK966" s="97" t="s">
        <v>79</v>
      </c>
    </row>
    <row r="967" ht="15.75" customHeight="1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96"/>
      <c r="AC967" s="96"/>
      <c r="AD967" s="96"/>
      <c r="AE967" s="96"/>
      <c r="AF967" s="96"/>
      <c r="AG967" s="96"/>
      <c r="AH967" s="97" t="s">
        <v>79</v>
      </c>
      <c r="AI967" s="97" t="s">
        <v>79</v>
      </c>
      <c r="AJ967" s="97" t="s">
        <v>79</v>
      </c>
      <c r="AK967" s="97" t="s">
        <v>79</v>
      </c>
    </row>
    <row r="968" ht="15.75" customHeight="1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7" t="s">
        <v>79</v>
      </c>
      <c r="AI968" s="97" t="s">
        <v>79</v>
      </c>
      <c r="AJ968" s="97" t="s">
        <v>79</v>
      </c>
      <c r="AK968" s="97" t="s">
        <v>79</v>
      </c>
    </row>
    <row r="969" ht="15.75" customHeight="1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96"/>
      <c r="AC969" s="96"/>
      <c r="AD969" s="96"/>
      <c r="AE969" s="96"/>
      <c r="AF969" s="96"/>
      <c r="AG969" s="96"/>
      <c r="AH969" s="97" t="s">
        <v>79</v>
      </c>
      <c r="AI969" s="97" t="s">
        <v>79</v>
      </c>
      <c r="AJ969" s="97" t="s">
        <v>79</v>
      </c>
      <c r="AK969" s="97" t="s">
        <v>79</v>
      </c>
    </row>
    <row r="970" ht="15.75" customHeight="1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7" t="s">
        <v>79</v>
      </c>
      <c r="AI970" s="97" t="s">
        <v>79</v>
      </c>
      <c r="AJ970" s="97" t="s">
        <v>79</v>
      </c>
      <c r="AK970" s="97" t="s">
        <v>79</v>
      </c>
    </row>
    <row r="971" ht="15.75" customHeight="1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  <c r="AC971" s="96"/>
      <c r="AD971" s="96"/>
      <c r="AE971" s="96"/>
      <c r="AF971" s="96"/>
      <c r="AG971" s="96"/>
      <c r="AH971" s="97" t="s">
        <v>79</v>
      </c>
      <c r="AI971" s="97" t="s">
        <v>79</v>
      </c>
      <c r="AJ971" s="97" t="s">
        <v>79</v>
      </c>
      <c r="AK971" s="97" t="s">
        <v>79</v>
      </c>
    </row>
    <row r="972" ht="15.75" customHeight="1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7" t="s">
        <v>79</v>
      </c>
      <c r="AI972" s="97" t="s">
        <v>79</v>
      </c>
      <c r="AJ972" s="97" t="s">
        <v>79</v>
      </c>
      <c r="AK972" s="97" t="s">
        <v>79</v>
      </c>
    </row>
    <row r="973" ht="15.75" customHeight="1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  <c r="AC973" s="96"/>
      <c r="AD973" s="96"/>
      <c r="AE973" s="96"/>
      <c r="AF973" s="96"/>
      <c r="AG973" s="96"/>
      <c r="AH973" s="97" t="s">
        <v>79</v>
      </c>
      <c r="AI973" s="97" t="s">
        <v>79</v>
      </c>
      <c r="AJ973" s="97" t="s">
        <v>79</v>
      </c>
      <c r="AK973" s="97" t="s">
        <v>79</v>
      </c>
    </row>
    <row r="974" ht="15.75" customHeight="1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7" t="s">
        <v>79</v>
      </c>
      <c r="AI974" s="97" t="s">
        <v>79</v>
      </c>
      <c r="AJ974" s="97" t="s">
        <v>79</v>
      </c>
      <c r="AK974" s="97" t="s">
        <v>79</v>
      </c>
    </row>
    <row r="975" ht="15.75" customHeight="1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  <c r="AC975" s="96"/>
      <c r="AD975" s="96"/>
      <c r="AE975" s="96"/>
      <c r="AF975" s="96"/>
      <c r="AG975" s="96"/>
      <c r="AH975" s="97" t="s">
        <v>79</v>
      </c>
      <c r="AI975" s="97" t="s">
        <v>79</v>
      </c>
      <c r="AJ975" s="97" t="s">
        <v>79</v>
      </c>
      <c r="AK975" s="97" t="s">
        <v>79</v>
      </c>
    </row>
    <row r="976" ht="15.75" customHeight="1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7" t="s">
        <v>79</v>
      </c>
      <c r="AI976" s="97" t="s">
        <v>79</v>
      </c>
      <c r="AJ976" s="97" t="s">
        <v>79</v>
      </c>
      <c r="AK976" s="97" t="s">
        <v>79</v>
      </c>
    </row>
    <row r="977" ht="15.75" customHeight="1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  <c r="AC977" s="96"/>
      <c r="AD977" s="96"/>
      <c r="AE977" s="96"/>
      <c r="AF977" s="96"/>
      <c r="AG977" s="96"/>
      <c r="AH977" s="97" t="s">
        <v>79</v>
      </c>
      <c r="AI977" s="97" t="s">
        <v>79</v>
      </c>
      <c r="AJ977" s="97" t="s">
        <v>79</v>
      </c>
      <c r="AK977" s="97" t="s">
        <v>79</v>
      </c>
    </row>
    <row r="978" ht="15.75" customHeight="1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7" t="s">
        <v>79</v>
      </c>
      <c r="AI978" s="97" t="s">
        <v>79</v>
      </c>
      <c r="AJ978" s="97" t="s">
        <v>79</v>
      </c>
      <c r="AK978" s="97" t="s">
        <v>79</v>
      </c>
    </row>
    <row r="979" ht="15.75" customHeight="1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  <c r="AC979" s="96"/>
      <c r="AD979" s="96"/>
      <c r="AE979" s="96"/>
      <c r="AF979" s="96"/>
      <c r="AG979" s="96"/>
      <c r="AH979" s="97" t="s">
        <v>79</v>
      </c>
      <c r="AI979" s="97" t="s">
        <v>79</v>
      </c>
      <c r="AJ979" s="97" t="s">
        <v>79</v>
      </c>
      <c r="AK979" s="97" t="s">
        <v>79</v>
      </c>
    </row>
    <row r="980" ht="15.75" customHeight="1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7" t="s">
        <v>79</v>
      </c>
      <c r="AI980" s="97" t="s">
        <v>79</v>
      </c>
      <c r="AJ980" s="97" t="s">
        <v>79</v>
      </c>
      <c r="AK980" s="97" t="s">
        <v>79</v>
      </c>
    </row>
    <row r="981" ht="15.75" customHeight="1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  <c r="AC981" s="96"/>
      <c r="AD981" s="96"/>
      <c r="AE981" s="96"/>
      <c r="AF981" s="96"/>
      <c r="AG981" s="96"/>
      <c r="AH981" s="97" t="s">
        <v>79</v>
      </c>
      <c r="AI981" s="97" t="s">
        <v>79</v>
      </c>
      <c r="AJ981" s="97" t="s">
        <v>79</v>
      </c>
      <c r="AK981" s="97" t="s">
        <v>79</v>
      </c>
    </row>
    <row r="982" ht="15.75" customHeight="1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7" t="s">
        <v>79</v>
      </c>
      <c r="AI982" s="97" t="s">
        <v>79</v>
      </c>
      <c r="AJ982" s="97" t="s">
        <v>79</v>
      </c>
      <c r="AK982" s="97" t="s">
        <v>79</v>
      </c>
    </row>
    <row r="983" ht="15.75" customHeight="1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  <c r="AC983" s="96"/>
      <c r="AD983" s="96"/>
      <c r="AE983" s="96"/>
      <c r="AF983" s="96"/>
      <c r="AG983" s="96"/>
      <c r="AH983" s="97" t="s">
        <v>79</v>
      </c>
      <c r="AI983" s="97" t="s">
        <v>79</v>
      </c>
      <c r="AJ983" s="97" t="s">
        <v>79</v>
      </c>
      <c r="AK983" s="97" t="s">
        <v>79</v>
      </c>
    </row>
    <row r="984" ht="15.75" customHeight="1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7" t="s">
        <v>79</v>
      </c>
      <c r="AI984" s="97" t="s">
        <v>79</v>
      </c>
      <c r="AJ984" s="97" t="s">
        <v>79</v>
      </c>
      <c r="AK984" s="97" t="s">
        <v>79</v>
      </c>
    </row>
    <row r="985" ht="15.75" customHeight="1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  <c r="AC985" s="96"/>
      <c r="AD985" s="96"/>
      <c r="AE985" s="96"/>
      <c r="AF985" s="96"/>
      <c r="AG985" s="96"/>
      <c r="AH985" s="97" t="s">
        <v>79</v>
      </c>
      <c r="AI985" s="97" t="s">
        <v>79</v>
      </c>
      <c r="AJ985" s="97" t="s">
        <v>79</v>
      </c>
      <c r="AK985" s="97" t="s">
        <v>79</v>
      </c>
    </row>
    <row r="986" ht="15.75" customHeight="1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7" t="s">
        <v>79</v>
      </c>
      <c r="AI986" s="97" t="s">
        <v>79</v>
      </c>
      <c r="AJ986" s="97" t="s">
        <v>79</v>
      </c>
      <c r="AK986" s="97" t="s">
        <v>79</v>
      </c>
    </row>
    <row r="987" ht="15.75" customHeight="1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  <c r="AC987" s="96"/>
      <c r="AD987" s="96"/>
      <c r="AE987" s="96"/>
      <c r="AF987" s="96"/>
      <c r="AG987" s="96"/>
      <c r="AH987" s="97" t="s">
        <v>79</v>
      </c>
      <c r="AI987" s="97" t="s">
        <v>79</v>
      </c>
      <c r="AJ987" s="97" t="s">
        <v>79</v>
      </c>
      <c r="AK987" s="97" t="s">
        <v>79</v>
      </c>
    </row>
    <row r="988" ht="15.75" customHeight="1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7" t="s">
        <v>79</v>
      </c>
      <c r="AI988" s="97" t="s">
        <v>79</v>
      </c>
      <c r="AJ988" s="97" t="s">
        <v>79</v>
      </c>
      <c r="AK988" s="97" t="s">
        <v>79</v>
      </c>
    </row>
    <row r="989" ht="15.75" customHeight="1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  <c r="AC989" s="96"/>
      <c r="AD989" s="96"/>
      <c r="AE989" s="96"/>
      <c r="AF989" s="96"/>
      <c r="AG989" s="96"/>
      <c r="AH989" s="97" t="s">
        <v>79</v>
      </c>
      <c r="AI989" s="97" t="s">
        <v>79</v>
      </c>
      <c r="AJ989" s="97" t="s">
        <v>79</v>
      </c>
      <c r="AK989" s="97" t="s">
        <v>79</v>
      </c>
    </row>
    <row r="990" ht="15.75" customHeight="1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7" t="s">
        <v>79</v>
      </c>
      <c r="AI990" s="97" t="s">
        <v>79</v>
      </c>
      <c r="AJ990" s="97" t="s">
        <v>79</v>
      </c>
      <c r="AK990" s="97" t="s">
        <v>79</v>
      </c>
    </row>
  </sheetData>
  <mergeCells count="4">
    <mergeCell ref="E2:P2"/>
    <mergeCell ref="Q2:AD2"/>
    <mergeCell ref="AE2:AG2"/>
    <mergeCell ref="AH2:AK2"/>
  </mergeCells>
  <dataValidations>
    <dataValidation type="list" allowBlank="1" sqref="Q4:Q159">
      <formula1>"Consentimento,Cumprimento de Obrigação Legal/Regulatória,Execução de Contrato,Exercício regular de direitos,Proteção da vida ou Integridade física,Tutela da saúde,Legítimo Interesse,Proteção ao Crédito,Cumprimento de políticas públicas,Prevenção à fraude "&amp;"e segurança"</formula1>
    </dataValidation>
    <dataValidation type="list" allowBlank="1" sqref="U4:U159">
      <formula1>"Não,Sim"</formula1>
    </dataValidation>
    <dataValidation type="custom" allowBlank="1" showDropDown="1" sqref="AF4:AF159">
      <formula1>OR(NOT(ISERROR(DATEVALUE(AF4))), AND(ISNUMBER(AF4), LEFT(CELL("format", AF4))="D"))</formula1>
    </dataValidation>
    <dataValidation type="list" allowBlank="1" sqref="H4:H159 J4:J159">
      <formula1>"Sim,Não"</formula1>
    </dataValidation>
    <dataValidation type="list" allowBlank="1" sqref="V4:V159">
      <formula1>"6 meses,1 ano,3 anos,5 anos,10 anos,15 anos,20 anos,Indeterminado"</formula1>
    </dataValidation>
    <dataValidation type="list" allowBlank="1" sqref="AE4:AE159">
      <formula1>"Opção 1,Opção 2"</formula1>
    </dataValidation>
    <dataValidation type="list" allowBlank="1" sqref="A4:A159">
      <formula1>"Em análise escritório,Dúvidas,Em andamento,Pendente,Concluído,Resposta Empresa,Duplicado"</formula1>
    </dataValidation>
    <dataValidation type="custom" allowBlank="1" showDropDown="1" sqref="AH4:AK159">
      <formula1/>
    </dataValidation>
    <dataValidation type="list" allowBlank="1" sqref="T4:T159">
      <formula1>"Crianças,Adolescentes,Idosos,Não"</formula1>
    </dataValidation>
    <dataValidation type="list" allowBlank="1" sqref="Y4:Y159">
      <formula1>"Baixo,Médio,Alto"</formula1>
    </dataValidation>
    <dataValidation type="list" allowBlank="1" sqref="R4:R159">
      <formula1>"Controlador,Operador"</formula1>
    </dataValidation>
    <dataValidation type="list" allowBlank="1" sqref="B4:B159">
      <formula1>"ADMINISTRATIVO,CERTIFICAÇÃO,CONTRATOS,EDUCAÇÃO,FINANCEIRO,GESTÃO DE PESSOAS,MKT,TI"</formula1>
    </dataValidation>
    <dataValidation type="list" allowBlank="1" sqref="S4:S159">
      <formula1>"Dado Pessoal,Dado Pessoal Sensível,Dados Anonimizados"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0.38"/>
    <col customWidth="1" min="2" max="2" width="20.25"/>
    <col customWidth="1" min="3" max="3" width="19.75"/>
    <col customWidth="1" min="4" max="4" width="18.75"/>
    <col customWidth="1" min="5" max="5" width="19.88"/>
    <col customWidth="1" min="6" max="6" width="21.25"/>
    <col customWidth="1" min="7" max="7" width="21.13"/>
    <col customWidth="1" min="8" max="8" width="21.25"/>
    <col customWidth="1" min="9" max="9" width="15.75"/>
    <col customWidth="1" min="10" max="10" width="21.13"/>
    <col customWidth="1" min="11" max="11" width="20.38"/>
    <col customWidth="1" min="12" max="12" width="24.25"/>
  </cols>
  <sheetData>
    <row r="1" ht="1.5" customHeight="1">
      <c r="A1" s="21"/>
      <c r="B1" s="21"/>
      <c r="C1" s="21"/>
      <c r="D1" s="46"/>
      <c r="E1" s="46"/>
      <c r="F1" s="46"/>
      <c r="G1" s="48"/>
      <c r="H1" s="49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9.25" customHeight="1">
      <c r="A2" s="51"/>
      <c r="B2" s="23" t="s">
        <v>42</v>
      </c>
      <c r="C2" s="53"/>
      <c r="D2" s="54" t="s">
        <v>60</v>
      </c>
      <c r="E2" s="46"/>
      <c r="F2" s="55" t="s">
        <v>61</v>
      </c>
      <c r="G2" s="48"/>
      <c r="H2" s="56" t="s">
        <v>62</v>
      </c>
      <c r="I2" s="22"/>
      <c r="J2" s="54" t="s">
        <v>64</v>
      </c>
      <c r="K2" s="22"/>
      <c r="L2" s="52" t="s">
        <v>65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6.75" customHeight="1">
      <c r="A3" s="57"/>
      <c r="B3" s="31">
        <f>COUNTIFS('REGISTRO UNIFICADO'!A4:A841, "&lt;&gt;", 'REGISTRO UNIFICADO'!A4:A841, "&lt;&gt;Duplicado")</f>
        <v>0</v>
      </c>
      <c r="C3" s="53"/>
      <c r="D3" s="62" t="str">
        <f>E52</f>
        <v/>
      </c>
      <c r="E3" s="53"/>
      <c r="F3" s="64" t="str">
        <f>AVERAGE('REGISTRO UNIFICADO'!AH4:AH841)</f>
        <v>#DIV/0!</v>
      </c>
      <c r="G3" s="65"/>
      <c r="H3" s="66" t="str">
        <f>H37</f>
        <v/>
      </c>
      <c r="I3" s="67"/>
      <c r="J3" s="68" t="str">
        <f>I37</f>
        <v/>
      </c>
      <c r="K3" s="67"/>
      <c r="L3" s="34" t="str">
        <f>R36</f>
        <v/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1.5" customHeight="1">
      <c r="A4" s="21"/>
      <c r="B4" s="21"/>
      <c r="C4" s="21"/>
      <c r="D4" s="46"/>
      <c r="E4" s="46"/>
      <c r="F4" s="46"/>
      <c r="G4" s="48"/>
      <c r="H4" s="49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.5" customHeight="1">
      <c r="A5" s="21"/>
      <c r="B5" s="21"/>
      <c r="C5" s="21"/>
      <c r="D5" s="46"/>
      <c r="E5" s="46"/>
      <c r="F5" s="46"/>
      <c r="G5" s="48"/>
      <c r="H5" s="49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21.75" customHeight="1">
      <c r="A6" s="21"/>
      <c r="B6" s="21"/>
      <c r="C6" s="21"/>
      <c r="D6" s="46"/>
      <c r="E6" s="46"/>
      <c r="F6" s="46"/>
      <c r="G6" s="48"/>
      <c r="H6" s="49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22.5" customHeight="1">
      <c r="A7" s="71" t="s">
        <v>71</v>
      </c>
      <c r="B7" s="71" t="s">
        <v>72</v>
      </c>
      <c r="C7" s="72" t="s">
        <v>73</v>
      </c>
      <c r="D7" s="73" t="s">
        <v>74</v>
      </c>
      <c r="E7" s="74" t="s">
        <v>75</v>
      </c>
      <c r="F7" s="73" t="s">
        <v>76</v>
      </c>
      <c r="G7" s="72" t="s">
        <v>77</v>
      </c>
      <c r="H7" s="71" t="s">
        <v>78</v>
      </c>
      <c r="I7" s="21"/>
      <c r="J7" s="21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2.5" customHeight="1">
      <c r="A8" s="75"/>
      <c r="B8" s="75" t="str">
        <f>IFERROR(__xludf.DUMMYFUNCTION("QUERY('REGISTRO UNIFICADO'!A4:AK841, 
  ""SELECT B, COUNT(A), AVG(AH), AVG(AI), AVG(AJ), AVG(AK) 
   WHERE A IS NOT NULL AND A &lt;&gt; 'Duplicado'
   GROUP BY B 
   ORDER BY COUNT(A) DESC 
   LABEL COUNT(A) '', AVG(AH) '', AVG(AI) '', AVG(AJ) '', AVG(AK) ''"","&amp;" 
0)"),"#VALUE!")</f>
        <v>#VALUE!</v>
      </c>
      <c r="C8" s="78"/>
      <c r="D8" s="79"/>
      <c r="E8" s="79"/>
      <c r="F8" s="80"/>
      <c r="G8" s="81"/>
      <c r="H8" s="75" t="str">
        <f>IFERROR(__xludf.DUMMYFUNCTION("SPARKLINE(G8, {""charttype"",""bar""; ""max"",1; ""color1"",""#32327f""; ""color2"",""#d9d9d9""})"),"#N/A")</f>
        <v>#N/A</v>
      </c>
      <c r="I8" s="82"/>
      <c r="J8" s="21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2.5" customHeight="1">
      <c r="A9" s="75"/>
      <c r="B9" s="83"/>
      <c r="C9" s="84"/>
      <c r="D9" s="85"/>
      <c r="E9" s="85"/>
      <c r="F9" s="86"/>
      <c r="G9" s="87"/>
      <c r="H9" s="83" t="str">
        <f>IFERROR(__xludf.DUMMYFUNCTION("SPARKLINE(G9, {""charttype"",""bar""; ""max"",1; ""color1"",""#32327f""; ""color2"",""#d9d9d9""})"),"#N/A")</f>
        <v>#N/A</v>
      </c>
      <c r="I9" s="82"/>
      <c r="J9" s="21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2.5" customHeight="1">
      <c r="A10" s="75"/>
      <c r="B10" s="75"/>
      <c r="C10" s="78"/>
      <c r="D10" s="79"/>
      <c r="E10" s="79"/>
      <c r="F10" s="80"/>
      <c r="G10" s="81"/>
      <c r="H10" s="75" t="str">
        <f>IFERROR(__xludf.DUMMYFUNCTION("SPARKLINE(G10, {""charttype"",""bar""; ""max"",1; ""color1"",""#32327f""; ""color2"",""#d9d9d9""})"),"#N/A")</f>
        <v>#N/A</v>
      </c>
      <c r="I10" s="82"/>
      <c r="J10" s="21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2.5" customHeight="1">
      <c r="A11" s="75"/>
      <c r="B11" s="83"/>
      <c r="C11" s="84"/>
      <c r="D11" s="85"/>
      <c r="E11" s="85"/>
      <c r="F11" s="86"/>
      <c r="G11" s="87"/>
      <c r="H11" s="83" t="str">
        <f>IFERROR(__xludf.DUMMYFUNCTION("SPARKLINE(G11, {""charttype"",""bar""; ""max"",1; ""color1"",""#32327f""; ""color2"",""#d9d9d9""})"),"#N/A")</f>
        <v>#N/A</v>
      </c>
      <c r="I11" s="82"/>
      <c r="J11" s="2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2.5" customHeight="1">
      <c r="A12" s="75"/>
      <c r="B12" s="75"/>
      <c r="C12" s="78"/>
      <c r="D12" s="79"/>
      <c r="E12" s="79"/>
      <c r="F12" s="80"/>
      <c r="G12" s="81"/>
      <c r="H12" s="75" t="str">
        <f>IFERROR(__xludf.DUMMYFUNCTION("SPARKLINE(G12, {""charttype"",""bar""; ""max"",1; ""color1"",""#32327f""; ""color2"",""#d9d9d9""})"),"#N/A")</f>
        <v>#N/A</v>
      </c>
      <c r="I12" s="82"/>
      <c r="J12" s="21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2.5" customHeight="1">
      <c r="A13" s="75"/>
      <c r="B13" s="83"/>
      <c r="C13" s="84"/>
      <c r="D13" s="85"/>
      <c r="E13" s="85"/>
      <c r="F13" s="86"/>
      <c r="G13" s="87"/>
      <c r="H13" s="83" t="str">
        <f>IFERROR(__xludf.DUMMYFUNCTION("SPARKLINE(G13, {""charttype"",""bar""; ""max"",1; ""color1"",""#32327f""; ""color2"",""#d9d9d9""})"),"#N/A")</f>
        <v>#N/A</v>
      </c>
      <c r="I13" s="82"/>
      <c r="J13" s="2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2.5" customHeight="1">
      <c r="A14" s="75"/>
      <c r="B14" s="75"/>
      <c r="C14" s="78"/>
      <c r="D14" s="79"/>
      <c r="E14" s="79"/>
      <c r="F14" s="80"/>
      <c r="G14" s="81"/>
      <c r="H14" s="75" t="str">
        <f>IFERROR(__xludf.DUMMYFUNCTION("SPARKLINE(G14, {""charttype"",""bar""; ""max"",1; ""color1"",""#32327f""; ""color2"",""#d9d9d9""})"),"#N/A")</f>
        <v>#N/A</v>
      </c>
      <c r="I14" s="82"/>
      <c r="J14" s="21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2.5" customHeight="1">
      <c r="A15" s="75"/>
      <c r="B15" s="83"/>
      <c r="C15" s="84"/>
      <c r="D15" s="85"/>
      <c r="E15" s="85"/>
      <c r="F15" s="86"/>
      <c r="G15" s="87"/>
      <c r="H15" s="83" t="str">
        <f>IFERROR(__xludf.DUMMYFUNCTION("SPARKLINE(G15, {""charttype"",""bar""; ""max"",1; ""color1"",""#32327f""; ""color2"",""#d9d9d9""})"),"#N/A")</f>
        <v>#N/A</v>
      </c>
      <c r="I15" s="82"/>
      <c r="J15" s="21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2.5" customHeight="1">
      <c r="A16" s="75"/>
      <c r="B16" s="75"/>
      <c r="C16" s="78"/>
      <c r="D16" s="79"/>
      <c r="E16" s="79"/>
      <c r="F16" s="80"/>
      <c r="G16" s="81"/>
      <c r="H16" s="75" t="str">
        <f>IFERROR(__xludf.DUMMYFUNCTION("SPARKLINE(G16, {""charttype"",""bar""; ""max"",1; ""color1"",""#32327f""; ""color2"",""#d9d9d9""})"),"#N/A")</f>
        <v>#N/A</v>
      </c>
      <c r="I16" s="82"/>
      <c r="J16" s="21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3.25" customHeight="1">
      <c r="A17" s="75"/>
      <c r="B17" s="83"/>
      <c r="C17" s="84"/>
      <c r="D17" s="85"/>
      <c r="E17" s="85"/>
      <c r="F17" s="86"/>
      <c r="G17" s="87"/>
      <c r="H17" s="83" t="str">
        <f>IFERROR(__xludf.DUMMYFUNCTION("SPARKLINE(G17, {""charttype"",""bar""; ""max"",1; ""color1"",""#32327f""; ""color2"",""#d9d9d9""})"),"#N/A")</f>
        <v>#N/A</v>
      </c>
      <c r="I17" s="82"/>
      <c r="J17" s="21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20.25" customHeight="1">
      <c r="A18" s="75"/>
      <c r="B18" s="75"/>
      <c r="C18" s="78"/>
      <c r="D18" s="79"/>
      <c r="E18" s="79"/>
      <c r="F18" s="80"/>
      <c r="G18" s="81"/>
      <c r="H18" s="75" t="str">
        <f>IFERROR(__xludf.DUMMYFUNCTION("SPARKLINE(G18, {""charttype"",""bar""; ""max"",1; ""color1"",""#32327f""; ""color2"",""#d9d9d9""})"),"#N/A")</f>
        <v>#N/A</v>
      </c>
      <c r="I18" s="82"/>
      <c r="J18" s="21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6.75" customHeight="1">
      <c r="A19" s="21"/>
      <c r="B19" s="21"/>
      <c r="C19" s="21"/>
      <c r="D19" s="46"/>
      <c r="E19" s="46"/>
      <c r="F19" s="46"/>
      <c r="G19" s="48"/>
      <c r="H19" s="49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1"/>
      <c r="B20" s="21"/>
      <c r="C20" s="21"/>
      <c r="D20" s="46"/>
      <c r="E20" s="46"/>
      <c r="F20" s="88" t="s">
        <v>80</v>
      </c>
      <c r="G20" s="89" t="s">
        <v>81</v>
      </c>
      <c r="H20" s="49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1"/>
      <c r="B21" s="21"/>
      <c r="C21" s="21"/>
      <c r="D21" s="46"/>
      <c r="E21" s="46"/>
      <c r="F21" s="90" t="s">
        <v>45</v>
      </c>
      <c r="G21" s="90" t="str">
        <f>AVERAGE('REGISTRO UNIFICADO'!AK4:AK841)</f>
        <v>#DIV/0!</v>
      </c>
      <c r="H21" s="49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1"/>
      <c r="B22" s="21"/>
      <c r="C22" s="21"/>
      <c r="D22" s="46"/>
      <c r="E22" s="46"/>
      <c r="F22" s="91" t="s">
        <v>72</v>
      </c>
      <c r="G22" s="91" t="str">
        <f>AVERAGE('REGISTRO UNIFICADO'!AH4:AH841)</f>
        <v>#DIV/0!</v>
      </c>
      <c r="H22" s="49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1"/>
      <c r="B23" s="21"/>
      <c r="C23" s="21"/>
      <c r="D23" s="46"/>
      <c r="E23" s="46"/>
      <c r="F23" s="91" t="s">
        <v>82</v>
      </c>
      <c r="G23" s="91" t="str">
        <f>AVERAGE('REGISTRO UNIFICADO'!AI4:AI841)</f>
        <v>#DIV/0!</v>
      </c>
      <c r="H23" s="92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>
      <c r="A24" s="21"/>
      <c r="B24" s="21"/>
      <c r="C24" s="21"/>
      <c r="D24" s="21"/>
      <c r="E24" s="21"/>
      <c r="F24" s="93" t="s">
        <v>83</v>
      </c>
      <c r="G24" s="93" t="str">
        <f>AVERAGE('REGISTRO UNIFICADO'!AJ4:AJ841)</f>
        <v>#DIV/0!</v>
      </c>
      <c r="H24" s="92"/>
      <c r="I24" s="40"/>
      <c r="J24" s="40"/>
      <c r="K24" s="40"/>
      <c r="L24" s="40"/>
      <c r="M24" s="40"/>
      <c r="N24" s="40"/>
      <c r="O24" s="40"/>
      <c r="P24" s="40"/>
      <c r="Q24" s="40" t="str">
        <f>IFERROR(__xludf.DUMMYFUNCTION("{
  QUERY(
    {
     'REGISTRO UNIFICADO'!B4:B841 , 
     'REGISTRO UNIFICADO'!A4:A841 , 
     ARRAYFORMULA(N(REGEXMATCH('REGISTRO UNIFICADO'!T4:T841, ""Crianças|Adolescentes|Idosos"")))
    }, 
    ""SELECT Col1, SUM(Col3) 
     WHERE Col1 IS NOT NULL A"&amp;"ND Col2 &lt;&gt; 'Duplicado' 
     GROUP BY Col1 
     ORDER BY SUM(Col3) DESC
     LABEL Col1 'Área', SUM(Col3) 'Qtd Vulneráveis'"", 
  1);
  {
   ""TOTAL"" , 
   SUMPRODUCT(
     REGEXMATCH('REGISTRO UNIFICADO'!T4:T841, ""Crianças|Adolescentes|Idosos"") * ('R"&amp;"EGISTRO UNIFICADO'!A4:A841 &lt;&gt; ""Duplicado"")
   )
  }
}"),"Área")</f>
        <v>Área</v>
      </c>
      <c r="R24" s="40" t="str">
        <f>IFERROR(__xludf.DUMMYFUNCTION("""COMPUTED_VALUE"""),"Qtd Vulneráveis")</f>
        <v>Qtd Vulneráveis</v>
      </c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44"/>
      <c r="B25" s="44"/>
      <c r="C25" s="44"/>
      <c r="D25" s="46"/>
      <c r="E25" s="94"/>
      <c r="F25" s="94"/>
      <c r="G25" s="95" t="str">
        <f>IFERROR(__xludf.DUMMYFUNCTION("{
  QUERY(
    {
     'REGISTRO UNIFICADO'!B4:B841 , 
     'REGISTRO UNIFICADO'!A4:A841 , 
     ARRAYFORMULA(N('REGISTRO UNIFICADO'!H4:H841=""Sim"")) , 
     ARRAYFORMULA(N('REGISTRO UNIFICADO'!J4:J841=""Sim""))
    }, 
    ""SELECT Col1, SUM(Col3), SUM(C"&amp;"ol4) 
     WHERE Col1 IS NOT NULL AND Col2 &lt;&gt; 'Duplicado' 
     GROUP BY Col1 
     LABEL Col1 'Área', SUM(Col3) 'Envio Interno', SUM(Col4) 'Envio Externo'"", 
  1);
  {
   ""TOTAL"" , 
   COUNTIFS('REGISTRO UNIFICADO'!H4:H841, ""Sim"", 'REGISTRO UNIFICAD"&amp;"O'!A4:A841, ""&lt;&gt;Duplicado"") , 
   COUNTIFS('REGISTRO UNIFICADO'!J4:J841, ""Sim"", 'REGISTRO UNIFICADO'!A4:A841, ""&lt;&gt;Duplicado"")
  }
}"),"Área")</f>
        <v>Área</v>
      </c>
      <c r="H25" s="92" t="str">
        <f>IFERROR(__xludf.DUMMYFUNCTION("""COMPUTED_VALUE"""),"Envio Interno")</f>
        <v>Envio Interno</v>
      </c>
      <c r="I25" s="40" t="str">
        <f>IFERROR(__xludf.DUMMYFUNCTION("""COMPUTED_VALUE"""),"Envio Externo")</f>
        <v>Envio Externo</v>
      </c>
      <c r="J25" s="40"/>
      <c r="K25" s="40" t="str">
        <f>IFERROR(__xludf.DUMMYFUNCTION("{
  QUERY('REGISTRO UNIFICADO'!A4:AZ841, 
    ""SELECT B, COUNT(A) 
     WHERE A IS NOT NULL AND S IS NOT NULL AND A &lt;&gt; 'Duplicado'
     GROUP BY B 
     PIVOT S 
     LABEL B 'Área'"", 
  1);
  QUERY(
    QUERY('REGISTRO UNIFICADO'!A4:AZ841, 
      ""SEL"&amp;"ECT ' TOTAL', COUNT(A) 
       WHERE A IS NOT NULL AND S IS NOT NULL AND A &lt;&gt; 'Duplicado'
       GROUP BY ' TOTAL' 
       PIVOT S"", 
    1), 
    ""SELECT * OFFSET 1"", 
  0)
}"),"#VALUE!")</f>
        <v>#VALUE!</v>
      </c>
      <c r="L25" s="40"/>
      <c r="M25" s="40"/>
      <c r="N25" s="40"/>
      <c r="O25" s="40"/>
      <c r="P25" s="40"/>
      <c r="Q25" s="40" t="str">
        <f>IFERROR(__xludf.DUMMYFUNCTION("""COMPUTED_VALUE"""),"TOTAL")</f>
        <v>TOTAL</v>
      </c>
      <c r="R25" s="40">
        <f>IFERROR(__xludf.DUMMYFUNCTION("""COMPUTED_VALUE"""),0.0)</f>
        <v>0</v>
      </c>
      <c r="S25" s="40"/>
      <c r="T25" s="40"/>
      <c r="U25" s="40"/>
      <c r="V25" s="40"/>
      <c r="W25" s="40"/>
      <c r="X25" s="40"/>
      <c r="Y25" s="40"/>
      <c r="Z25" s="40"/>
    </row>
    <row r="26" ht="15.75" customHeight="1">
      <c r="A26" s="44"/>
      <c r="B26" s="44"/>
      <c r="C26" s="44"/>
      <c r="D26" s="46"/>
      <c r="E26" s="94"/>
      <c r="F26" s="94"/>
      <c r="G26" s="95" t="str">
        <f>IFERROR(__xludf.DUMMYFUNCTION("""COMPUTED_VALUE"""),"TOTAL")</f>
        <v>TOTAL</v>
      </c>
      <c r="H26" s="92">
        <f>IFERROR(__xludf.DUMMYFUNCTION("""COMPUTED_VALUE"""),0.0)</f>
        <v>0</v>
      </c>
      <c r="I26" s="40">
        <f>IFERROR(__xludf.DUMMYFUNCTION("""COMPUTED_VALUE"""),0.0)</f>
        <v>0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5.75" customHeight="1">
      <c r="A27" s="44"/>
      <c r="B27" s="44"/>
      <c r="C27" s="44"/>
      <c r="D27" s="46"/>
      <c r="E27" s="94"/>
      <c r="F27" s="94"/>
      <c r="G27" s="95"/>
      <c r="H27" s="92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44"/>
      <c r="B28" s="44"/>
      <c r="C28" s="44"/>
      <c r="D28" s="46"/>
      <c r="E28" s="94"/>
      <c r="F28" s="94"/>
      <c r="G28" s="95"/>
      <c r="H28" s="92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44"/>
      <c r="B29" s="44"/>
      <c r="C29" s="44"/>
      <c r="D29" s="46"/>
      <c r="E29" s="94"/>
      <c r="F29" s="94"/>
      <c r="G29" s="95"/>
      <c r="H29" s="92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5.75" customHeight="1">
      <c r="A30" s="44"/>
      <c r="B30" s="44"/>
      <c r="C30" s="44"/>
      <c r="D30" s="94"/>
      <c r="E30" s="94"/>
      <c r="F30" s="94"/>
      <c r="G30" s="95"/>
      <c r="H30" s="92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A31" s="44"/>
      <c r="B31" s="44"/>
      <c r="C31" s="44"/>
      <c r="D31" s="94"/>
      <c r="E31" s="94"/>
      <c r="F31" s="94"/>
      <c r="G31" s="95"/>
      <c r="H31" s="92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44"/>
      <c r="B32" s="44"/>
      <c r="C32" s="44"/>
      <c r="D32" s="94"/>
      <c r="E32" s="94"/>
      <c r="F32" s="94"/>
      <c r="G32" s="95"/>
      <c r="H32" s="92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5.75" customHeight="1">
      <c r="A33" s="44"/>
      <c r="B33" s="44"/>
      <c r="C33" s="44"/>
      <c r="D33" s="94"/>
      <c r="E33" s="94"/>
      <c r="F33" s="94"/>
      <c r="G33" s="95"/>
      <c r="H33" s="92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44"/>
      <c r="B34" s="44"/>
      <c r="C34" s="44"/>
      <c r="D34" s="94"/>
      <c r="E34" s="94"/>
      <c r="F34" s="94"/>
      <c r="G34" s="95"/>
      <c r="H34" s="92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44"/>
      <c r="B35" s="44"/>
      <c r="C35" s="44"/>
      <c r="D35" s="94"/>
      <c r="E35" s="94"/>
      <c r="F35" s="94"/>
      <c r="G35" s="95"/>
      <c r="H35" s="92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44"/>
      <c r="B36" s="44"/>
      <c r="C36" s="44"/>
      <c r="D36" s="94"/>
      <c r="E36" s="94"/>
      <c r="F36" s="94"/>
      <c r="G36" s="95"/>
      <c r="H36" s="92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44"/>
      <c r="B37" s="44"/>
      <c r="C37" s="44"/>
      <c r="D37" s="94"/>
      <c r="E37" s="94"/>
      <c r="F37" s="94"/>
      <c r="G37" s="95"/>
      <c r="H37" s="92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44"/>
      <c r="B38" s="44"/>
      <c r="C38" s="44"/>
      <c r="D38" s="94"/>
      <c r="E38" s="94"/>
      <c r="F38" s="94"/>
      <c r="G38" s="95"/>
      <c r="H38" s="92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44"/>
      <c r="B39" s="44"/>
      <c r="C39" s="44"/>
      <c r="D39" s="94"/>
      <c r="E39" s="94"/>
      <c r="F39" s="94"/>
      <c r="G39" s="95"/>
      <c r="H39" s="92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5.75" customHeight="1">
      <c r="A40" s="44"/>
      <c r="B40" s="44"/>
      <c r="C40" s="44" t="str">
        <f>IFERROR(__xludf.DUMMYFUNCTION("{
  QUERY(
    {
     'REGISTRO UNIFICADO'!B4:B841 , 
     'REGISTRO UNIFICADO'!A4:A841 , 
     'REGISTRO UNIFICADO'!X4:X841 
    }, 
    ""SELECT Col1, COUNT(Col2), COUNT(Col3) 
     WHERE Col1 IS NOT NULL AND Col2 &lt;&gt; 'Duplicado' 
     GROUP BY Col1 
   "&amp;"  LABEL Col1 'Área', COUNT(Col2) 'Total Processos', COUNT(Col3) 'Com Riscos'"", 
  1);
  {
   ""TOTAL"" , 
   COUNTIFS('REGISTRO UNIFICADO'!A4:A841, ""&lt;&gt;"", 'REGISTRO UNIFICADO'!A4:A841, ""&lt;&gt;Duplicado"") , 
   COUNTIFS('REGISTRO UNIFICADO'!X4:X841, ""&lt;&gt;"""&amp;", 'REGISTRO UNIFICADO'!A4:A841, ""&lt;&gt;Duplicado"")
  }
}"),"Área")</f>
        <v>Área</v>
      </c>
      <c r="D40" s="94" t="str">
        <f>IFERROR(__xludf.DUMMYFUNCTION("""COMPUTED_VALUE"""),"Total Processos")</f>
        <v>Total Processos</v>
      </c>
      <c r="E40" s="94" t="str">
        <f>IFERROR(__xludf.DUMMYFUNCTION("""COMPUTED_VALUE"""),"Com Riscos")</f>
        <v>Com Riscos</v>
      </c>
      <c r="F40" s="94"/>
      <c r="G40" s="95"/>
      <c r="H40" s="92"/>
      <c r="I40" s="40"/>
      <c r="J40" s="40"/>
      <c r="K40" s="40" t="s">
        <v>84</v>
      </c>
      <c r="L40" s="40" t="s">
        <v>85</v>
      </c>
      <c r="M40" s="40" t="s">
        <v>86</v>
      </c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5.75" customHeight="1">
      <c r="A41" s="44"/>
      <c r="B41" s="44"/>
      <c r="C41" s="44" t="str">
        <f>IFERROR(__xludf.DUMMYFUNCTION("""COMPUTED_VALUE"""),"TOTAL")</f>
        <v>TOTAL</v>
      </c>
      <c r="D41" s="94">
        <f>IFERROR(__xludf.DUMMYFUNCTION("""COMPUTED_VALUE"""),0.0)</f>
        <v>0</v>
      </c>
      <c r="E41" s="94">
        <f>IFERROR(__xludf.DUMMYFUNCTION("""COMPUTED_VALUE"""),0.0)</f>
        <v>0</v>
      </c>
      <c r="F41" s="94"/>
      <c r="G41" s="95"/>
      <c r="H41" s="92"/>
      <c r="I41" s="40"/>
      <c r="J41" s="40"/>
      <c r="K41" s="40" t="str">
        <f t="shared" ref="K41:M41" si="1">L37</f>
        <v/>
      </c>
      <c r="L41" s="40" t="str">
        <f t="shared" si="1"/>
        <v/>
      </c>
      <c r="M41" s="40" t="str">
        <f t="shared" si="1"/>
        <v/>
      </c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44"/>
      <c r="B42" s="44"/>
      <c r="C42" s="44"/>
      <c r="D42" s="94"/>
      <c r="E42" s="94"/>
      <c r="F42" s="94"/>
      <c r="G42" s="95"/>
      <c r="H42" s="92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44"/>
      <c r="B43" s="44"/>
      <c r="C43" s="44"/>
      <c r="D43" s="94"/>
      <c r="E43" s="94"/>
      <c r="F43" s="94"/>
      <c r="G43" s="95"/>
      <c r="H43" s="92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44"/>
      <c r="B44" s="44"/>
      <c r="C44" s="44"/>
      <c r="D44" s="94"/>
      <c r="E44" s="94"/>
      <c r="F44" s="94"/>
      <c r="G44" s="95"/>
      <c r="H44" s="92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44"/>
      <c r="B45" s="44"/>
      <c r="C45" s="44"/>
      <c r="D45" s="94"/>
      <c r="E45" s="94"/>
      <c r="F45" s="94"/>
      <c r="G45" s="95"/>
      <c r="H45" s="92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44"/>
      <c r="B46" s="44"/>
      <c r="C46" s="44"/>
      <c r="D46" s="94"/>
      <c r="E46" s="94"/>
      <c r="F46" s="94"/>
      <c r="G46" s="95"/>
      <c r="H46" s="92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44"/>
      <c r="B47" s="44"/>
      <c r="C47" s="44"/>
      <c r="D47" s="94"/>
      <c r="E47" s="94"/>
      <c r="F47" s="94"/>
      <c r="G47" s="95"/>
      <c r="H47" s="92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44"/>
      <c r="B48" s="44"/>
      <c r="C48" s="44"/>
      <c r="D48" s="94"/>
      <c r="E48" s="94"/>
      <c r="F48" s="94"/>
      <c r="G48" s="95"/>
      <c r="H48" s="92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44"/>
      <c r="B49" s="44"/>
      <c r="C49" s="44"/>
      <c r="D49" s="94"/>
      <c r="E49" s="94"/>
      <c r="F49" s="94"/>
      <c r="G49" s="95"/>
      <c r="H49" s="92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44"/>
      <c r="B50" s="44"/>
      <c r="C50" s="44"/>
      <c r="D50" s="94"/>
      <c r="E50" s="94"/>
      <c r="F50" s="94"/>
      <c r="G50" s="95"/>
      <c r="H50" s="92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44"/>
      <c r="B51" s="44"/>
      <c r="C51" s="44"/>
      <c r="D51" s="94"/>
      <c r="E51" s="94"/>
      <c r="F51" s="94"/>
      <c r="G51" s="95"/>
      <c r="H51" s="92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44"/>
      <c r="B52" s="44"/>
      <c r="C52" s="44"/>
      <c r="D52" s="94"/>
      <c r="E52" s="94"/>
      <c r="F52" s="94"/>
      <c r="G52" s="95"/>
      <c r="H52" s="92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44"/>
      <c r="B53" s="44"/>
      <c r="C53" s="44"/>
      <c r="D53" s="94"/>
      <c r="E53" s="94"/>
      <c r="F53" s="94"/>
      <c r="G53" s="95"/>
      <c r="H53" s="92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44"/>
      <c r="B54" s="44"/>
      <c r="C54" s="44"/>
      <c r="D54" s="94"/>
      <c r="E54" s="94"/>
      <c r="F54" s="94"/>
      <c r="G54" s="95"/>
      <c r="H54" s="92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44"/>
      <c r="B55" s="44" t="str">
        <f>IFERROR(__xludf.DUMMYFUNCTION("{
  QUERY(
    {
     'REGISTRO UNIFICADO'!B4:B841 , 
     ARRAYFORMULA(N('REGISTRO UNIFICADO'!Y4:Y841=""Baixo"")) , 
     ARRAYFORMULA(N('REGISTRO UNIFICADO'!Y4:Y841=""Médio"")) , 
     ARRAYFORMULA(N('REGISTRO UNIFICADO'!Y4:Y841=""Alto"")) , 
     ARRAY"&amp;"FORMULA(N('REGISTRO UNIFICADO'!Y4:Y841=""""))
    }, 
    ""SELECT Col1, SUM(Col2), SUM(Col3), SUM(Col4), SUM(Col5) 
     WHERE Col1 IS NOT NULL 
     GROUP BY Col1 
     LABEL Col1 'Área', SUM(Col2) 'Baixo', SUM(Col3) 'Médio', SUM(Col4) 'Alto', SUM(Col5)"&amp;" 'Não Identificado'"", 
  1);
  {
   ""TOTAL"" , 
   COUNTIF('REGISTRO UNIFICADO'!Y4:Y841, ""Baixo"") , 
   COUNTIF('REGISTRO UNIFICADO'!Y4:Y841, ""Médio"") , 
   COUNTIF('REGISTRO UNIFICADO'!Y4:Y841, ""Alto"") , 
   COUNTIFS('REGISTRO UNIFICADO'!B4:B841,"&amp;" ""&lt;&gt;"", 'REGISTRO UNIFICADO'!Y4:Y841, """")
  }
}"),"Área")</f>
        <v>Área</v>
      </c>
      <c r="C55" s="44" t="str">
        <f>IFERROR(__xludf.DUMMYFUNCTION("""COMPUTED_VALUE"""),"Baixo")</f>
        <v>Baixo</v>
      </c>
      <c r="D55" s="94" t="str">
        <f>IFERROR(__xludf.DUMMYFUNCTION("""COMPUTED_VALUE"""),"Médio")</f>
        <v>Médio</v>
      </c>
      <c r="E55" s="94" t="str">
        <f>IFERROR(__xludf.DUMMYFUNCTION("""COMPUTED_VALUE"""),"Alto")</f>
        <v>Alto</v>
      </c>
      <c r="F55" s="94" t="str">
        <f>IFERROR(__xludf.DUMMYFUNCTION("""COMPUTED_VALUE"""),"Não Identificado")</f>
        <v>Não Identificado</v>
      </c>
      <c r="G55" s="95"/>
      <c r="H55" s="92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44"/>
      <c r="B56" s="44" t="str">
        <f>IFERROR(__xludf.DUMMYFUNCTION("""COMPUTED_VALUE"""),"TOTAL")</f>
        <v>TOTAL</v>
      </c>
      <c r="C56" s="44">
        <f>IFERROR(__xludf.DUMMYFUNCTION("""COMPUTED_VALUE"""),0.0)</f>
        <v>0</v>
      </c>
      <c r="D56" s="94">
        <f>IFERROR(__xludf.DUMMYFUNCTION("""COMPUTED_VALUE"""),0.0)</f>
        <v>0</v>
      </c>
      <c r="E56" s="94">
        <f>IFERROR(__xludf.DUMMYFUNCTION("""COMPUTED_VALUE"""),0.0)</f>
        <v>0</v>
      </c>
      <c r="F56" s="94">
        <f>IFERROR(__xludf.DUMMYFUNCTION("""COMPUTED_VALUE"""),0.0)</f>
        <v>0</v>
      </c>
      <c r="G56" s="95"/>
      <c r="H56" s="92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44"/>
      <c r="B57" s="44"/>
      <c r="C57" s="44"/>
      <c r="D57" s="94"/>
      <c r="E57" s="94"/>
      <c r="F57" s="94"/>
      <c r="G57" s="95"/>
      <c r="H57" s="92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44"/>
      <c r="B58" s="44"/>
      <c r="C58" s="44"/>
      <c r="D58" s="94"/>
      <c r="E58" s="94"/>
      <c r="F58" s="94"/>
      <c r="G58" s="95"/>
      <c r="H58" s="92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44"/>
      <c r="B59" s="44"/>
      <c r="C59" s="44"/>
      <c r="D59" s="94"/>
      <c r="E59" s="94"/>
      <c r="F59" s="94"/>
      <c r="G59" s="95"/>
      <c r="H59" s="92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44"/>
      <c r="B60" s="44"/>
      <c r="C60" s="44"/>
      <c r="D60" s="94"/>
      <c r="E60" s="94"/>
      <c r="F60" s="94"/>
      <c r="G60" s="95"/>
      <c r="H60" s="92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44"/>
      <c r="B61" s="44"/>
      <c r="C61" s="44"/>
      <c r="D61" s="94"/>
      <c r="E61" s="94"/>
      <c r="F61" s="94"/>
      <c r="G61" s="95"/>
      <c r="H61" s="92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44"/>
      <c r="B62" s="44"/>
      <c r="C62" s="44"/>
      <c r="D62" s="94"/>
      <c r="E62" s="94"/>
      <c r="F62" s="94"/>
      <c r="G62" s="95"/>
      <c r="H62" s="92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44"/>
      <c r="B63" s="44"/>
      <c r="C63" s="44"/>
      <c r="D63" s="94"/>
      <c r="E63" s="94"/>
      <c r="F63" s="94"/>
      <c r="G63" s="95"/>
      <c r="H63" s="92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44"/>
      <c r="B64" s="44"/>
      <c r="C64" s="44"/>
      <c r="D64" s="94"/>
      <c r="E64" s="94"/>
      <c r="F64" s="94"/>
      <c r="G64" s="95"/>
      <c r="H64" s="92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44"/>
      <c r="B65" s="44"/>
      <c r="C65" s="44"/>
      <c r="D65" s="94"/>
      <c r="E65" s="94"/>
      <c r="F65" s="94"/>
      <c r="G65" s="95"/>
      <c r="H65" s="92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44"/>
      <c r="B66" s="44"/>
      <c r="C66" s="44"/>
      <c r="D66" s="94"/>
      <c r="E66" s="94"/>
      <c r="F66" s="94"/>
      <c r="G66" s="95"/>
      <c r="H66" s="92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44"/>
      <c r="B67" s="44"/>
      <c r="C67" s="44"/>
      <c r="D67" s="94"/>
      <c r="E67" s="94"/>
      <c r="F67" s="94"/>
      <c r="G67" s="95"/>
      <c r="H67" s="92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44"/>
      <c r="B68" s="44"/>
      <c r="C68" s="44"/>
      <c r="D68" s="94"/>
      <c r="E68" s="94"/>
      <c r="F68" s="94"/>
      <c r="G68" s="95"/>
      <c r="H68" s="92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44"/>
      <c r="B69" s="44"/>
      <c r="C69" s="44"/>
      <c r="D69" s="94"/>
      <c r="E69" s="94"/>
      <c r="F69" s="94"/>
      <c r="G69" s="95"/>
      <c r="H69" s="92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44"/>
      <c r="B70" s="44"/>
      <c r="C70" s="44"/>
      <c r="D70" s="94"/>
      <c r="E70" s="94"/>
      <c r="F70" s="94"/>
      <c r="G70" s="95"/>
      <c r="H70" s="92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44"/>
      <c r="B71" s="44"/>
      <c r="C71" s="44"/>
      <c r="D71" s="94"/>
      <c r="E71" s="94"/>
      <c r="F71" s="94"/>
      <c r="G71" s="95"/>
      <c r="H71" s="92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44"/>
      <c r="B72" s="44"/>
      <c r="C72" s="44"/>
      <c r="D72" s="94"/>
      <c r="E72" s="94"/>
      <c r="F72" s="94"/>
      <c r="G72" s="95"/>
      <c r="H72" s="92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44"/>
      <c r="B73" s="44"/>
      <c r="C73" s="44"/>
      <c r="D73" s="94"/>
      <c r="E73" s="94"/>
      <c r="F73" s="94"/>
      <c r="G73" s="95"/>
      <c r="H73" s="92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44"/>
      <c r="B74" s="44"/>
      <c r="C74" s="44"/>
      <c r="D74" s="94"/>
      <c r="E74" s="94"/>
      <c r="F74" s="94"/>
      <c r="G74" s="95"/>
      <c r="H74" s="92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44"/>
      <c r="B75" s="44"/>
      <c r="C75" s="44"/>
      <c r="D75" s="94"/>
      <c r="E75" s="94"/>
      <c r="F75" s="94"/>
      <c r="G75" s="95"/>
      <c r="H75" s="92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44"/>
      <c r="B76" s="44"/>
      <c r="C76" s="44"/>
      <c r="D76" s="94"/>
      <c r="E76" s="94"/>
      <c r="F76" s="94"/>
      <c r="G76" s="95"/>
      <c r="H76" s="92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44"/>
      <c r="B77" s="44"/>
      <c r="C77" s="44"/>
      <c r="D77" s="94"/>
      <c r="E77" s="94"/>
      <c r="F77" s="94"/>
      <c r="G77" s="95"/>
      <c r="H77" s="92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44"/>
      <c r="B78" s="44"/>
      <c r="C78" s="44"/>
      <c r="D78" s="94"/>
      <c r="E78" s="94"/>
      <c r="F78" s="94"/>
      <c r="G78" s="95"/>
      <c r="H78" s="92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44"/>
      <c r="B79" s="44"/>
      <c r="C79" s="44"/>
      <c r="D79" s="94"/>
      <c r="E79" s="94"/>
      <c r="F79" s="94"/>
      <c r="G79" s="95"/>
      <c r="H79" s="92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44"/>
      <c r="B80" s="44"/>
      <c r="C80" s="44"/>
      <c r="D80" s="94"/>
      <c r="E80" s="94"/>
      <c r="F80" s="94"/>
      <c r="G80" s="95"/>
      <c r="H80" s="92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44"/>
      <c r="B81" s="44"/>
      <c r="C81" s="44"/>
      <c r="D81" s="94"/>
      <c r="E81" s="94"/>
      <c r="F81" s="94"/>
      <c r="G81" s="95"/>
      <c r="H81" s="92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44"/>
      <c r="B82" s="44"/>
      <c r="C82" s="44"/>
      <c r="D82" s="94"/>
      <c r="E82" s="94"/>
      <c r="F82" s="94"/>
      <c r="G82" s="95"/>
      <c r="H82" s="92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44"/>
      <c r="B83" s="44"/>
      <c r="C83" s="44"/>
      <c r="D83" s="94"/>
      <c r="E83" s="94"/>
      <c r="F83" s="94"/>
      <c r="G83" s="95"/>
      <c r="H83" s="92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44"/>
      <c r="B84" s="44"/>
      <c r="C84" s="44"/>
      <c r="D84" s="94"/>
      <c r="E84" s="94"/>
      <c r="F84" s="94"/>
      <c r="G84" s="95"/>
      <c r="H84" s="92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44"/>
      <c r="B85" s="44"/>
      <c r="C85" s="44"/>
      <c r="D85" s="94"/>
      <c r="E85" s="94"/>
      <c r="F85" s="94"/>
      <c r="G85" s="95"/>
      <c r="H85" s="92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44"/>
      <c r="B86" s="44"/>
      <c r="C86" s="44"/>
      <c r="D86" s="94"/>
      <c r="E86" s="94"/>
      <c r="F86" s="94"/>
      <c r="G86" s="95"/>
      <c r="H86" s="92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44"/>
      <c r="B87" s="44"/>
      <c r="C87" s="44"/>
      <c r="D87" s="94"/>
      <c r="E87" s="94"/>
      <c r="F87" s="94"/>
      <c r="G87" s="95"/>
      <c r="H87" s="92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44"/>
      <c r="B88" s="44"/>
      <c r="C88" s="44"/>
      <c r="D88" s="94"/>
      <c r="E88" s="94"/>
      <c r="F88" s="94"/>
      <c r="G88" s="95"/>
      <c r="H88" s="92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44"/>
      <c r="B89" s="44"/>
      <c r="C89" s="44"/>
      <c r="D89" s="94"/>
      <c r="E89" s="94"/>
      <c r="F89" s="94"/>
      <c r="G89" s="95"/>
      <c r="H89" s="92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44"/>
      <c r="B90" s="44"/>
      <c r="C90" s="44"/>
      <c r="D90" s="94"/>
      <c r="E90" s="94"/>
      <c r="F90" s="94"/>
      <c r="G90" s="95"/>
      <c r="H90" s="92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44"/>
      <c r="B91" s="44"/>
      <c r="C91" s="44"/>
      <c r="D91" s="94"/>
      <c r="E91" s="94"/>
      <c r="F91" s="94"/>
      <c r="G91" s="95"/>
      <c r="H91" s="92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44"/>
      <c r="B92" s="44"/>
      <c r="C92" s="44"/>
      <c r="D92" s="94"/>
      <c r="E92" s="94"/>
      <c r="F92" s="94"/>
      <c r="G92" s="95"/>
      <c r="H92" s="92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44"/>
      <c r="B93" s="44"/>
      <c r="C93" s="44"/>
      <c r="D93" s="94"/>
      <c r="E93" s="94"/>
      <c r="F93" s="94"/>
      <c r="G93" s="95"/>
      <c r="H93" s="92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44"/>
      <c r="B94" s="44"/>
      <c r="C94" s="44"/>
      <c r="D94" s="94"/>
      <c r="E94" s="94"/>
      <c r="F94" s="94"/>
      <c r="G94" s="95"/>
      <c r="H94" s="92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44"/>
      <c r="B95" s="44"/>
      <c r="C95" s="44"/>
      <c r="D95" s="94"/>
      <c r="E95" s="94"/>
      <c r="F95" s="94"/>
      <c r="G95" s="95"/>
      <c r="H95" s="92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44"/>
      <c r="B96" s="44"/>
      <c r="C96" s="44"/>
      <c r="D96" s="94"/>
      <c r="E96" s="94"/>
      <c r="F96" s="94"/>
      <c r="G96" s="95"/>
      <c r="H96" s="92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44"/>
      <c r="B97" s="44"/>
      <c r="C97" s="44"/>
      <c r="D97" s="94"/>
      <c r="E97" s="94"/>
      <c r="F97" s="94"/>
      <c r="G97" s="95"/>
      <c r="H97" s="92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44"/>
      <c r="B98" s="44"/>
      <c r="C98" s="44"/>
      <c r="D98" s="94"/>
      <c r="E98" s="94"/>
      <c r="F98" s="94"/>
      <c r="G98" s="95"/>
      <c r="H98" s="92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44"/>
      <c r="B99" s="44"/>
      <c r="C99" s="44"/>
      <c r="D99" s="94"/>
      <c r="E99" s="94"/>
      <c r="F99" s="94"/>
      <c r="G99" s="95"/>
      <c r="H99" s="92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44"/>
      <c r="B100" s="44"/>
      <c r="C100" s="44"/>
      <c r="D100" s="94"/>
      <c r="E100" s="94"/>
      <c r="F100" s="94"/>
      <c r="G100" s="95"/>
      <c r="H100" s="92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44"/>
      <c r="B101" s="44"/>
      <c r="C101" s="44"/>
      <c r="D101" s="94"/>
      <c r="E101" s="94"/>
      <c r="F101" s="94"/>
      <c r="G101" s="95"/>
      <c r="H101" s="92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44"/>
      <c r="B102" s="44"/>
      <c r="C102" s="44"/>
      <c r="D102" s="94"/>
      <c r="E102" s="94"/>
      <c r="F102" s="94"/>
      <c r="G102" s="95"/>
      <c r="H102" s="92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44"/>
      <c r="B103" s="44"/>
      <c r="C103" s="44"/>
      <c r="D103" s="94"/>
      <c r="E103" s="94"/>
      <c r="F103" s="94"/>
      <c r="G103" s="95"/>
      <c r="H103" s="92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44"/>
      <c r="B104" s="44"/>
      <c r="C104" s="44"/>
      <c r="D104" s="94"/>
      <c r="E104" s="94"/>
      <c r="F104" s="94"/>
      <c r="G104" s="95"/>
      <c r="H104" s="92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44"/>
      <c r="B105" s="44"/>
      <c r="C105" s="44"/>
      <c r="D105" s="94"/>
      <c r="E105" s="94"/>
      <c r="F105" s="94"/>
      <c r="G105" s="95"/>
      <c r="H105" s="92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44"/>
      <c r="B106" s="44"/>
      <c r="C106" s="44"/>
      <c r="D106" s="94"/>
      <c r="E106" s="94"/>
      <c r="F106" s="94"/>
      <c r="G106" s="95"/>
      <c r="H106" s="92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44"/>
      <c r="B107" s="44"/>
      <c r="C107" s="44"/>
      <c r="D107" s="94"/>
      <c r="E107" s="94"/>
      <c r="F107" s="94"/>
      <c r="G107" s="95"/>
      <c r="H107" s="92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44"/>
      <c r="B108" s="44"/>
      <c r="C108" s="44"/>
      <c r="D108" s="94"/>
      <c r="E108" s="94"/>
      <c r="F108" s="94"/>
      <c r="G108" s="95"/>
      <c r="H108" s="92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44"/>
      <c r="B109" s="44"/>
      <c r="C109" s="44"/>
      <c r="D109" s="94"/>
      <c r="E109" s="94"/>
      <c r="F109" s="94"/>
      <c r="G109" s="95"/>
      <c r="H109" s="92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44"/>
      <c r="B110" s="44"/>
      <c r="C110" s="44"/>
      <c r="D110" s="94"/>
      <c r="E110" s="94"/>
      <c r="F110" s="94"/>
      <c r="G110" s="95"/>
      <c r="H110" s="92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44"/>
      <c r="B111" s="44"/>
      <c r="C111" s="44"/>
      <c r="D111" s="94"/>
      <c r="E111" s="94"/>
      <c r="F111" s="94"/>
      <c r="G111" s="95"/>
      <c r="H111" s="92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44"/>
      <c r="B112" s="44"/>
      <c r="C112" s="44"/>
      <c r="D112" s="94"/>
      <c r="E112" s="94"/>
      <c r="F112" s="94"/>
      <c r="G112" s="95"/>
      <c r="H112" s="92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44"/>
      <c r="B113" s="44"/>
      <c r="C113" s="44"/>
      <c r="D113" s="94"/>
      <c r="E113" s="94"/>
      <c r="F113" s="94"/>
      <c r="G113" s="95"/>
      <c r="H113" s="92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44"/>
      <c r="B114" s="44"/>
      <c r="C114" s="44"/>
      <c r="D114" s="94"/>
      <c r="E114" s="94"/>
      <c r="F114" s="94"/>
      <c r="G114" s="95"/>
      <c r="H114" s="92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44"/>
      <c r="B115" s="44"/>
      <c r="C115" s="44"/>
      <c r="D115" s="94"/>
      <c r="E115" s="94"/>
      <c r="F115" s="94"/>
      <c r="G115" s="95"/>
      <c r="H115" s="92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44"/>
      <c r="B116" s="44"/>
      <c r="C116" s="44"/>
      <c r="D116" s="94"/>
      <c r="E116" s="94"/>
      <c r="F116" s="94"/>
      <c r="G116" s="95"/>
      <c r="H116" s="92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44"/>
      <c r="B117" s="44"/>
      <c r="C117" s="44"/>
      <c r="D117" s="94"/>
      <c r="E117" s="94"/>
      <c r="F117" s="94"/>
      <c r="G117" s="95"/>
      <c r="H117" s="92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44"/>
      <c r="B118" s="44"/>
      <c r="C118" s="44"/>
      <c r="D118" s="94"/>
      <c r="E118" s="94"/>
      <c r="F118" s="94"/>
      <c r="G118" s="95"/>
      <c r="H118" s="92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44"/>
      <c r="B119" s="44"/>
      <c r="C119" s="44"/>
      <c r="D119" s="94"/>
      <c r="E119" s="94"/>
      <c r="F119" s="94"/>
      <c r="G119" s="95"/>
      <c r="H119" s="92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44"/>
      <c r="B120" s="44"/>
      <c r="C120" s="44"/>
      <c r="D120" s="94"/>
      <c r="E120" s="94"/>
      <c r="F120" s="94"/>
      <c r="G120" s="95"/>
      <c r="H120" s="92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44"/>
      <c r="B121" s="44"/>
      <c r="C121" s="44"/>
      <c r="D121" s="94"/>
      <c r="E121" s="94"/>
      <c r="F121" s="94"/>
      <c r="G121" s="95"/>
      <c r="H121" s="92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44"/>
      <c r="B122" s="44"/>
      <c r="C122" s="44"/>
      <c r="D122" s="94"/>
      <c r="E122" s="94"/>
      <c r="F122" s="94"/>
      <c r="G122" s="95"/>
      <c r="H122" s="92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44"/>
      <c r="B123" s="44"/>
      <c r="C123" s="44"/>
      <c r="D123" s="94"/>
      <c r="E123" s="94"/>
      <c r="F123" s="94"/>
      <c r="G123" s="95"/>
      <c r="H123" s="92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44"/>
      <c r="B124" s="44"/>
      <c r="C124" s="44"/>
      <c r="D124" s="94"/>
      <c r="E124" s="94"/>
      <c r="F124" s="94"/>
      <c r="G124" s="95"/>
      <c r="H124" s="92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44"/>
      <c r="B125" s="44"/>
      <c r="C125" s="44"/>
      <c r="D125" s="94"/>
      <c r="E125" s="94"/>
      <c r="F125" s="94"/>
      <c r="G125" s="95"/>
      <c r="H125" s="92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44"/>
      <c r="B126" s="44"/>
      <c r="C126" s="44"/>
      <c r="D126" s="94"/>
      <c r="E126" s="94"/>
      <c r="F126" s="94"/>
      <c r="G126" s="95"/>
      <c r="H126" s="92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44"/>
      <c r="B127" s="44"/>
      <c r="C127" s="44"/>
      <c r="D127" s="94"/>
      <c r="E127" s="94"/>
      <c r="F127" s="94"/>
      <c r="G127" s="95"/>
      <c r="H127" s="92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44"/>
      <c r="B128" s="44"/>
      <c r="C128" s="44"/>
      <c r="D128" s="94"/>
      <c r="E128" s="94"/>
      <c r="F128" s="94"/>
      <c r="G128" s="95"/>
      <c r="H128" s="92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44"/>
      <c r="B129" s="44"/>
      <c r="C129" s="44"/>
      <c r="D129" s="94"/>
      <c r="E129" s="94"/>
      <c r="F129" s="94"/>
      <c r="G129" s="95"/>
      <c r="H129" s="92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44"/>
      <c r="B130" s="44"/>
      <c r="C130" s="44"/>
      <c r="D130" s="94"/>
      <c r="E130" s="94"/>
      <c r="F130" s="94"/>
      <c r="G130" s="95"/>
      <c r="H130" s="92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44"/>
      <c r="B131" s="44"/>
      <c r="C131" s="44"/>
      <c r="D131" s="94"/>
      <c r="E131" s="94"/>
      <c r="F131" s="94"/>
      <c r="G131" s="95"/>
      <c r="H131" s="92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44"/>
      <c r="B132" s="44"/>
      <c r="C132" s="44"/>
      <c r="D132" s="94"/>
      <c r="E132" s="94"/>
      <c r="F132" s="94"/>
      <c r="G132" s="95"/>
      <c r="H132" s="92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44"/>
      <c r="B133" s="44"/>
      <c r="C133" s="44"/>
      <c r="D133" s="94"/>
      <c r="E133" s="94"/>
      <c r="F133" s="94"/>
      <c r="G133" s="95"/>
      <c r="H133" s="92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44"/>
      <c r="B134" s="44"/>
      <c r="C134" s="44"/>
      <c r="D134" s="94"/>
      <c r="E134" s="94"/>
      <c r="F134" s="94"/>
      <c r="G134" s="95"/>
      <c r="H134" s="92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44"/>
      <c r="B135" s="44"/>
      <c r="C135" s="44"/>
      <c r="D135" s="94"/>
      <c r="E135" s="94"/>
      <c r="F135" s="94"/>
      <c r="G135" s="95"/>
      <c r="H135" s="92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44"/>
      <c r="B136" s="44"/>
      <c r="C136" s="44"/>
      <c r="D136" s="94"/>
      <c r="E136" s="94"/>
      <c r="F136" s="94"/>
      <c r="G136" s="95"/>
      <c r="H136" s="92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44"/>
      <c r="B137" s="44"/>
      <c r="C137" s="44"/>
      <c r="D137" s="94"/>
      <c r="E137" s="94"/>
      <c r="F137" s="94"/>
      <c r="G137" s="95"/>
      <c r="H137" s="92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44"/>
      <c r="B138" s="44"/>
      <c r="C138" s="44"/>
      <c r="D138" s="94"/>
      <c r="E138" s="94"/>
      <c r="F138" s="94"/>
      <c r="G138" s="95"/>
      <c r="H138" s="92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44"/>
      <c r="B139" s="44"/>
      <c r="C139" s="44"/>
      <c r="D139" s="94"/>
      <c r="E139" s="94"/>
      <c r="F139" s="94"/>
      <c r="G139" s="95"/>
      <c r="H139" s="92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44"/>
      <c r="B140" s="44"/>
      <c r="C140" s="44"/>
      <c r="D140" s="94"/>
      <c r="E140" s="94"/>
      <c r="F140" s="94"/>
      <c r="G140" s="95"/>
      <c r="H140" s="92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44"/>
      <c r="B141" s="44"/>
      <c r="C141" s="44"/>
      <c r="D141" s="94"/>
      <c r="E141" s="94"/>
      <c r="F141" s="94"/>
      <c r="G141" s="95"/>
      <c r="H141" s="92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44"/>
      <c r="B142" s="44"/>
      <c r="C142" s="44"/>
      <c r="D142" s="94"/>
      <c r="E142" s="94"/>
      <c r="F142" s="94"/>
      <c r="G142" s="95"/>
      <c r="H142" s="92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44"/>
      <c r="B143" s="44"/>
      <c r="C143" s="44"/>
      <c r="D143" s="94"/>
      <c r="E143" s="94"/>
      <c r="F143" s="94"/>
      <c r="G143" s="95"/>
      <c r="H143" s="92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44"/>
      <c r="B144" s="44"/>
      <c r="C144" s="44"/>
      <c r="D144" s="94"/>
      <c r="E144" s="94"/>
      <c r="F144" s="94"/>
      <c r="G144" s="95"/>
      <c r="H144" s="92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44"/>
      <c r="B145" s="44"/>
      <c r="C145" s="44"/>
      <c r="D145" s="94"/>
      <c r="E145" s="94"/>
      <c r="F145" s="94"/>
      <c r="G145" s="95"/>
      <c r="H145" s="92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44"/>
      <c r="B146" s="44"/>
      <c r="C146" s="44"/>
      <c r="D146" s="94"/>
      <c r="E146" s="94"/>
      <c r="F146" s="94"/>
      <c r="G146" s="95"/>
      <c r="H146" s="92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44"/>
      <c r="B147" s="44"/>
      <c r="C147" s="44"/>
      <c r="D147" s="94"/>
      <c r="E147" s="94"/>
      <c r="F147" s="94"/>
      <c r="G147" s="95"/>
      <c r="H147" s="92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44"/>
      <c r="B148" s="44"/>
      <c r="C148" s="44"/>
      <c r="D148" s="94"/>
      <c r="E148" s="94"/>
      <c r="F148" s="94"/>
      <c r="G148" s="95"/>
      <c r="H148" s="92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44"/>
      <c r="B149" s="44"/>
      <c r="C149" s="44"/>
      <c r="D149" s="94"/>
      <c r="E149" s="94"/>
      <c r="F149" s="94"/>
      <c r="G149" s="95"/>
      <c r="H149" s="92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44"/>
      <c r="B150" s="44"/>
      <c r="C150" s="44"/>
      <c r="D150" s="94"/>
      <c r="E150" s="94"/>
      <c r="F150" s="94"/>
      <c r="G150" s="95"/>
      <c r="H150" s="92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44"/>
      <c r="B151" s="44"/>
      <c r="C151" s="44"/>
      <c r="D151" s="94"/>
      <c r="E151" s="94"/>
      <c r="F151" s="94"/>
      <c r="G151" s="95"/>
      <c r="H151" s="92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44"/>
      <c r="B152" s="44"/>
      <c r="C152" s="44"/>
      <c r="D152" s="94"/>
      <c r="E152" s="94"/>
      <c r="F152" s="94"/>
      <c r="G152" s="95"/>
      <c r="H152" s="92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44"/>
      <c r="B153" s="44"/>
      <c r="C153" s="44"/>
      <c r="D153" s="94"/>
      <c r="E153" s="94"/>
      <c r="F153" s="94"/>
      <c r="G153" s="95"/>
      <c r="H153" s="92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44"/>
      <c r="B154" s="44"/>
      <c r="C154" s="44"/>
      <c r="D154" s="94"/>
      <c r="E154" s="94"/>
      <c r="F154" s="94"/>
      <c r="G154" s="95"/>
      <c r="H154" s="92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44"/>
      <c r="B155" s="44"/>
      <c r="C155" s="44"/>
      <c r="D155" s="94"/>
      <c r="E155" s="94"/>
      <c r="F155" s="94"/>
      <c r="G155" s="95"/>
      <c r="H155" s="92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44"/>
      <c r="B156" s="44"/>
      <c r="C156" s="44"/>
      <c r="D156" s="94"/>
      <c r="E156" s="94"/>
      <c r="F156" s="94"/>
      <c r="G156" s="95"/>
      <c r="H156" s="92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44"/>
      <c r="B157" s="44"/>
      <c r="C157" s="44"/>
      <c r="D157" s="94"/>
      <c r="E157" s="94"/>
      <c r="F157" s="94"/>
      <c r="G157" s="95"/>
      <c r="H157" s="92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44"/>
      <c r="B158" s="44"/>
      <c r="C158" s="44"/>
      <c r="D158" s="94"/>
      <c r="E158" s="94"/>
      <c r="F158" s="94"/>
      <c r="G158" s="95"/>
      <c r="H158" s="92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44"/>
      <c r="B159" s="44"/>
      <c r="C159" s="44"/>
      <c r="D159" s="94"/>
      <c r="E159" s="94"/>
      <c r="F159" s="94"/>
      <c r="G159" s="95"/>
      <c r="H159" s="92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44"/>
      <c r="B160" s="44"/>
      <c r="C160" s="44"/>
      <c r="D160" s="94"/>
      <c r="E160" s="94"/>
      <c r="F160" s="94"/>
      <c r="G160" s="95"/>
      <c r="H160" s="92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44"/>
      <c r="B161" s="44"/>
      <c r="C161" s="44"/>
      <c r="D161" s="94"/>
      <c r="E161" s="94"/>
      <c r="F161" s="94"/>
      <c r="G161" s="95"/>
      <c r="H161" s="92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44"/>
      <c r="B162" s="44"/>
      <c r="C162" s="44"/>
      <c r="D162" s="94"/>
      <c r="E162" s="94"/>
      <c r="F162" s="94"/>
      <c r="G162" s="95"/>
      <c r="H162" s="92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44"/>
      <c r="B163" s="44"/>
      <c r="C163" s="44"/>
      <c r="D163" s="94"/>
      <c r="E163" s="94"/>
      <c r="F163" s="94"/>
      <c r="G163" s="95"/>
      <c r="H163" s="92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44"/>
      <c r="B164" s="44"/>
      <c r="C164" s="44"/>
      <c r="D164" s="94"/>
      <c r="E164" s="94"/>
      <c r="F164" s="94"/>
      <c r="G164" s="95"/>
      <c r="H164" s="92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44"/>
      <c r="B165" s="44"/>
      <c r="C165" s="44"/>
      <c r="D165" s="94"/>
      <c r="E165" s="94"/>
      <c r="F165" s="94"/>
      <c r="G165" s="95"/>
      <c r="H165" s="92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44"/>
      <c r="B166" s="44"/>
      <c r="C166" s="44"/>
      <c r="D166" s="94"/>
      <c r="E166" s="94"/>
      <c r="F166" s="94"/>
      <c r="G166" s="95"/>
      <c r="H166" s="92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44"/>
      <c r="B167" s="44"/>
      <c r="C167" s="44"/>
      <c r="D167" s="94"/>
      <c r="E167" s="94"/>
      <c r="F167" s="94"/>
      <c r="G167" s="95"/>
      <c r="H167" s="92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44"/>
      <c r="B168" s="44"/>
      <c r="C168" s="44"/>
      <c r="D168" s="94"/>
      <c r="E168" s="94"/>
      <c r="F168" s="94"/>
      <c r="G168" s="95"/>
      <c r="H168" s="92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44"/>
      <c r="B169" s="44"/>
      <c r="C169" s="44"/>
      <c r="D169" s="94"/>
      <c r="E169" s="94"/>
      <c r="F169" s="94"/>
      <c r="G169" s="95"/>
      <c r="H169" s="92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44"/>
      <c r="B170" s="44"/>
      <c r="C170" s="44"/>
      <c r="D170" s="94"/>
      <c r="E170" s="94"/>
      <c r="F170" s="94"/>
      <c r="G170" s="95"/>
      <c r="H170" s="92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44"/>
      <c r="B171" s="44"/>
      <c r="C171" s="44"/>
      <c r="D171" s="94"/>
      <c r="E171" s="94"/>
      <c r="F171" s="94"/>
      <c r="G171" s="95"/>
      <c r="H171" s="92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44"/>
      <c r="B172" s="44"/>
      <c r="C172" s="44"/>
      <c r="D172" s="94"/>
      <c r="E172" s="94"/>
      <c r="F172" s="94"/>
      <c r="G172" s="95"/>
      <c r="H172" s="92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44"/>
      <c r="B173" s="44"/>
      <c r="C173" s="44"/>
      <c r="D173" s="94"/>
      <c r="E173" s="94"/>
      <c r="F173" s="94"/>
      <c r="G173" s="95"/>
      <c r="H173" s="92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44"/>
      <c r="B174" s="44"/>
      <c r="C174" s="44"/>
      <c r="D174" s="94"/>
      <c r="E174" s="94"/>
      <c r="F174" s="94"/>
      <c r="G174" s="95"/>
      <c r="H174" s="92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44"/>
      <c r="B175" s="44"/>
      <c r="C175" s="44"/>
      <c r="D175" s="94"/>
      <c r="E175" s="94"/>
      <c r="F175" s="94"/>
      <c r="G175" s="95"/>
      <c r="H175" s="92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44"/>
      <c r="B176" s="44"/>
      <c r="C176" s="44"/>
      <c r="D176" s="94"/>
      <c r="E176" s="94"/>
      <c r="F176" s="94"/>
      <c r="G176" s="95"/>
      <c r="H176" s="92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44"/>
      <c r="B177" s="44"/>
      <c r="C177" s="44"/>
      <c r="D177" s="94"/>
      <c r="E177" s="94"/>
      <c r="F177" s="94"/>
      <c r="G177" s="95"/>
      <c r="H177" s="92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44"/>
      <c r="B178" s="44"/>
      <c r="C178" s="44"/>
      <c r="D178" s="94"/>
      <c r="E178" s="94"/>
      <c r="F178" s="94"/>
      <c r="G178" s="95"/>
      <c r="H178" s="92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44"/>
      <c r="B179" s="44"/>
      <c r="C179" s="44"/>
      <c r="D179" s="94"/>
      <c r="E179" s="94"/>
      <c r="F179" s="94"/>
      <c r="G179" s="95"/>
      <c r="H179" s="92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44"/>
      <c r="B180" s="44"/>
      <c r="C180" s="44"/>
      <c r="D180" s="94"/>
      <c r="E180" s="94"/>
      <c r="F180" s="94"/>
      <c r="G180" s="95"/>
      <c r="H180" s="92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44"/>
      <c r="B181" s="44"/>
      <c r="C181" s="44"/>
      <c r="D181" s="94"/>
      <c r="E181" s="94"/>
      <c r="F181" s="94"/>
      <c r="G181" s="95"/>
      <c r="H181" s="92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44"/>
      <c r="B182" s="44"/>
      <c r="C182" s="44"/>
      <c r="D182" s="94"/>
      <c r="E182" s="94"/>
      <c r="F182" s="94"/>
      <c r="G182" s="95"/>
      <c r="H182" s="92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44"/>
      <c r="B183" s="44"/>
      <c r="C183" s="44"/>
      <c r="D183" s="94"/>
      <c r="E183" s="94"/>
      <c r="F183" s="94"/>
      <c r="G183" s="95"/>
      <c r="H183" s="92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44"/>
      <c r="B184" s="44"/>
      <c r="C184" s="44"/>
      <c r="D184" s="94"/>
      <c r="E184" s="94"/>
      <c r="F184" s="94"/>
      <c r="G184" s="95"/>
      <c r="H184" s="92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44"/>
      <c r="B185" s="44"/>
      <c r="C185" s="44"/>
      <c r="D185" s="94"/>
      <c r="E185" s="94"/>
      <c r="F185" s="94"/>
      <c r="G185" s="95"/>
      <c r="H185" s="92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44"/>
      <c r="B186" s="44"/>
      <c r="C186" s="44"/>
      <c r="D186" s="94"/>
      <c r="E186" s="94"/>
      <c r="F186" s="94"/>
      <c r="G186" s="95"/>
      <c r="H186" s="92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44"/>
      <c r="B187" s="44"/>
      <c r="C187" s="44"/>
      <c r="D187" s="94"/>
      <c r="E187" s="94"/>
      <c r="F187" s="94"/>
      <c r="G187" s="95"/>
      <c r="H187" s="92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44"/>
      <c r="B188" s="44"/>
      <c r="C188" s="44"/>
      <c r="D188" s="94"/>
      <c r="E188" s="94"/>
      <c r="F188" s="94"/>
      <c r="G188" s="95"/>
      <c r="H188" s="92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44"/>
      <c r="B189" s="44"/>
      <c r="C189" s="44"/>
      <c r="D189" s="94"/>
      <c r="E189" s="94"/>
      <c r="F189" s="94"/>
      <c r="G189" s="95"/>
      <c r="H189" s="92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44"/>
      <c r="B190" s="44"/>
      <c r="C190" s="44"/>
      <c r="D190" s="94"/>
      <c r="E190" s="94"/>
      <c r="F190" s="94"/>
      <c r="G190" s="95"/>
      <c r="H190" s="92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44"/>
      <c r="B191" s="44"/>
      <c r="C191" s="44"/>
      <c r="D191" s="94"/>
      <c r="E191" s="94"/>
      <c r="F191" s="94"/>
      <c r="G191" s="95"/>
      <c r="H191" s="92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44"/>
      <c r="B192" s="44"/>
      <c r="C192" s="44"/>
      <c r="D192" s="94"/>
      <c r="E192" s="94"/>
      <c r="F192" s="94"/>
      <c r="G192" s="95"/>
      <c r="H192" s="92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44"/>
      <c r="B193" s="44"/>
      <c r="C193" s="44"/>
      <c r="D193" s="94"/>
      <c r="E193" s="94"/>
      <c r="F193" s="94"/>
      <c r="G193" s="95"/>
      <c r="H193" s="92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44"/>
      <c r="B194" s="44"/>
      <c r="C194" s="44"/>
      <c r="D194" s="94"/>
      <c r="E194" s="94"/>
      <c r="F194" s="94"/>
      <c r="G194" s="95"/>
      <c r="H194" s="92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44"/>
      <c r="B195" s="44"/>
      <c r="C195" s="44"/>
      <c r="D195" s="94"/>
      <c r="E195" s="94"/>
      <c r="F195" s="94"/>
      <c r="G195" s="95"/>
      <c r="H195" s="92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44"/>
      <c r="B196" s="44"/>
      <c r="C196" s="44"/>
      <c r="D196" s="94"/>
      <c r="E196" s="94"/>
      <c r="F196" s="94"/>
      <c r="G196" s="95"/>
      <c r="H196" s="92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44"/>
      <c r="B197" s="44"/>
      <c r="C197" s="44"/>
      <c r="D197" s="94"/>
      <c r="E197" s="94"/>
      <c r="F197" s="94"/>
      <c r="G197" s="95"/>
      <c r="H197" s="92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44"/>
      <c r="B198" s="44"/>
      <c r="C198" s="44"/>
      <c r="D198" s="94"/>
      <c r="E198" s="94"/>
      <c r="F198" s="94"/>
      <c r="G198" s="95"/>
      <c r="H198" s="92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44"/>
      <c r="B199" s="44"/>
      <c r="C199" s="44"/>
      <c r="D199" s="94"/>
      <c r="E199" s="94"/>
      <c r="F199" s="94"/>
      <c r="G199" s="95"/>
      <c r="H199" s="92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44"/>
      <c r="B200" s="44"/>
      <c r="C200" s="44"/>
      <c r="D200" s="94"/>
      <c r="E200" s="94"/>
      <c r="F200" s="94"/>
      <c r="G200" s="95"/>
      <c r="H200" s="92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44"/>
      <c r="B201" s="44"/>
      <c r="C201" s="44"/>
      <c r="D201" s="94"/>
      <c r="E201" s="94"/>
      <c r="F201" s="94"/>
      <c r="G201" s="95"/>
      <c r="H201" s="92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44"/>
      <c r="B202" s="44"/>
      <c r="C202" s="44"/>
      <c r="D202" s="94"/>
      <c r="E202" s="94"/>
      <c r="F202" s="94"/>
      <c r="G202" s="95"/>
      <c r="H202" s="92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44"/>
      <c r="B203" s="44"/>
      <c r="C203" s="44"/>
      <c r="D203" s="94"/>
      <c r="E203" s="94"/>
      <c r="F203" s="94"/>
      <c r="G203" s="95"/>
      <c r="H203" s="92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44"/>
      <c r="B204" s="44"/>
      <c r="C204" s="44"/>
      <c r="D204" s="94"/>
      <c r="E204" s="94"/>
      <c r="F204" s="94"/>
      <c r="G204" s="95"/>
      <c r="H204" s="92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44"/>
      <c r="B205" s="44"/>
      <c r="C205" s="44"/>
      <c r="D205" s="94"/>
      <c r="E205" s="94"/>
      <c r="F205" s="94"/>
      <c r="G205" s="95"/>
      <c r="H205" s="92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44"/>
      <c r="B206" s="44"/>
      <c r="C206" s="44"/>
      <c r="D206" s="94"/>
      <c r="E206" s="94"/>
      <c r="F206" s="94"/>
      <c r="G206" s="95"/>
      <c r="H206" s="92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44"/>
      <c r="B207" s="44"/>
      <c r="C207" s="44"/>
      <c r="D207" s="94"/>
      <c r="E207" s="94"/>
      <c r="F207" s="94"/>
      <c r="G207" s="95"/>
      <c r="H207" s="92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44"/>
      <c r="B208" s="44"/>
      <c r="C208" s="44"/>
      <c r="D208" s="94"/>
      <c r="E208" s="94"/>
      <c r="F208" s="94"/>
      <c r="G208" s="95"/>
      <c r="H208" s="92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44"/>
      <c r="B209" s="44"/>
      <c r="C209" s="44"/>
      <c r="D209" s="94"/>
      <c r="E209" s="94"/>
      <c r="F209" s="94"/>
      <c r="G209" s="95"/>
      <c r="H209" s="92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44"/>
      <c r="B210" s="44"/>
      <c r="C210" s="44"/>
      <c r="D210" s="94"/>
      <c r="E210" s="94"/>
      <c r="F210" s="94"/>
      <c r="G210" s="95"/>
      <c r="H210" s="92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44"/>
      <c r="B211" s="44"/>
      <c r="C211" s="44"/>
      <c r="D211" s="94"/>
      <c r="E211" s="94"/>
      <c r="F211" s="94"/>
      <c r="G211" s="95"/>
      <c r="H211" s="92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44"/>
      <c r="B212" s="44"/>
      <c r="C212" s="44"/>
      <c r="D212" s="94"/>
      <c r="E212" s="94"/>
      <c r="F212" s="94"/>
      <c r="G212" s="95"/>
      <c r="H212" s="92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44"/>
      <c r="B213" s="44"/>
      <c r="C213" s="44"/>
      <c r="D213" s="94"/>
      <c r="E213" s="94"/>
      <c r="F213" s="94"/>
      <c r="G213" s="95"/>
      <c r="H213" s="92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44"/>
      <c r="B214" s="44"/>
      <c r="C214" s="44"/>
      <c r="D214" s="94"/>
      <c r="E214" s="94"/>
      <c r="F214" s="94"/>
      <c r="G214" s="95"/>
      <c r="H214" s="92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44"/>
      <c r="B215" s="44"/>
      <c r="C215" s="44"/>
      <c r="D215" s="94"/>
      <c r="E215" s="94"/>
      <c r="F215" s="94"/>
      <c r="G215" s="95"/>
      <c r="H215" s="92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44"/>
      <c r="B216" s="44"/>
      <c r="C216" s="44"/>
      <c r="D216" s="94"/>
      <c r="E216" s="94"/>
      <c r="F216" s="94"/>
      <c r="G216" s="95"/>
      <c r="H216" s="92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44"/>
      <c r="B217" s="44"/>
      <c r="C217" s="44"/>
      <c r="D217" s="94"/>
      <c r="E217" s="94"/>
      <c r="F217" s="94"/>
      <c r="G217" s="95"/>
      <c r="H217" s="92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44"/>
      <c r="B218" s="44"/>
      <c r="C218" s="44"/>
      <c r="D218" s="94"/>
      <c r="E218" s="94"/>
      <c r="F218" s="94"/>
      <c r="G218" s="95"/>
      <c r="H218" s="92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44"/>
      <c r="B219" s="44"/>
      <c r="C219" s="44"/>
      <c r="D219" s="94"/>
      <c r="E219" s="94"/>
      <c r="F219" s="94"/>
      <c r="G219" s="95"/>
      <c r="H219" s="92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44"/>
      <c r="B220" s="44"/>
      <c r="C220" s="44"/>
      <c r="D220" s="94"/>
      <c r="E220" s="94"/>
      <c r="F220" s="94"/>
      <c r="G220" s="95"/>
      <c r="H220" s="92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44"/>
      <c r="B221" s="44"/>
      <c r="C221" s="44"/>
      <c r="D221" s="94"/>
      <c r="E221" s="94"/>
      <c r="F221" s="94"/>
      <c r="G221" s="95"/>
      <c r="H221" s="92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44"/>
      <c r="B222" s="44"/>
      <c r="C222" s="44"/>
      <c r="D222" s="94"/>
      <c r="E222" s="94"/>
      <c r="F222" s="94"/>
      <c r="G222" s="95"/>
      <c r="H222" s="92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44"/>
      <c r="B223" s="44"/>
      <c r="C223" s="44"/>
      <c r="D223" s="94"/>
      <c r="E223" s="94"/>
      <c r="F223" s="94"/>
      <c r="G223" s="95"/>
      <c r="H223" s="92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44"/>
      <c r="B224" s="44"/>
      <c r="C224" s="44"/>
      <c r="D224" s="94"/>
      <c r="E224" s="94"/>
      <c r="F224" s="94"/>
      <c r="G224" s="95"/>
      <c r="H224" s="92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44"/>
      <c r="B225" s="44"/>
      <c r="C225" s="44"/>
      <c r="D225" s="94"/>
      <c r="E225" s="94"/>
      <c r="F225" s="94"/>
      <c r="G225" s="95"/>
      <c r="H225" s="92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44"/>
      <c r="B226" s="44"/>
      <c r="C226" s="44"/>
      <c r="D226" s="94"/>
      <c r="E226" s="94"/>
      <c r="F226" s="94"/>
      <c r="G226" s="95"/>
      <c r="H226" s="92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44"/>
      <c r="B227" s="44"/>
      <c r="C227" s="44"/>
      <c r="D227" s="94"/>
      <c r="E227" s="94"/>
      <c r="F227" s="94"/>
      <c r="G227" s="95"/>
      <c r="H227" s="92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44"/>
      <c r="B228" s="44"/>
      <c r="C228" s="44"/>
      <c r="D228" s="94"/>
      <c r="E228" s="94"/>
      <c r="F228" s="94"/>
      <c r="G228" s="95"/>
      <c r="H228" s="92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44"/>
      <c r="B229" s="44"/>
      <c r="C229" s="44"/>
      <c r="D229" s="94"/>
      <c r="E229" s="94"/>
      <c r="F229" s="94"/>
      <c r="G229" s="95"/>
      <c r="H229" s="92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44"/>
      <c r="B230" s="44"/>
      <c r="C230" s="44"/>
      <c r="D230" s="94"/>
      <c r="E230" s="94"/>
      <c r="F230" s="94"/>
      <c r="G230" s="95"/>
      <c r="H230" s="92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44"/>
      <c r="B231" s="44"/>
      <c r="C231" s="44"/>
      <c r="D231" s="94"/>
      <c r="E231" s="94"/>
      <c r="F231" s="94"/>
      <c r="G231" s="95"/>
      <c r="H231" s="92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44"/>
      <c r="B232" s="44"/>
      <c r="C232" s="44"/>
      <c r="D232" s="94"/>
      <c r="E232" s="94"/>
      <c r="F232" s="94"/>
      <c r="G232" s="95"/>
      <c r="H232" s="92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44"/>
      <c r="B233" s="44"/>
      <c r="C233" s="44"/>
      <c r="D233" s="94"/>
      <c r="E233" s="94"/>
      <c r="F233" s="94"/>
      <c r="G233" s="95"/>
      <c r="H233" s="92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44"/>
      <c r="B234" s="44"/>
      <c r="C234" s="44"/>
      <c r="D234" s="94"/>
      <c r="E234" s="94"/>
      <c r="F234" s="94"/>
      <c r="G234" s="95"/>
      <c r="H234" s="92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44"/>
      <c r="B235" s="44"/>
      <c r="C235" s="44"/>
      <c r="D235" s="94"/>
      <c r="E235" s="94"/>
      <c r="F235" s="94"/>
      <c r="G235" s="95"/>
      <c r="H235" s="92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44"/>
      <c r="B236" s="44"/>
      <c r="C236" s="44"/>
      <c r="D236" s="94"/>
      <c r="E236" s="94"/>
      <c r="F236" s="94"/>
      <c r="G236" s="95"/>
      <c r="H236" s="92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44"/>
      <c r="B237" s="44"/>
      <c r="C237" s="44"/>
      <c r="D237" s="94"/>
      <c r="E237" s="94"/>
      <c r="F237" s="94"/>
      <c r="G237" s="95"/>
      <c r="H237" s="92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44"/>
      <c r="B238" s="44"/>
      <c r="C238" s="44"/>
      <c r="D238" s="94"/>
      <c r="E238" s="94"/>
      <c r="F238" s="94"/>
      <c r="G238" s="95"/>
      <c r="H238" s="92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44"/>
      <c r="B239" s="44"/>
      <c r="C239" s="44"/>
      <c r="D239" s="94"/>
      <c r="E239" s="94"/>
      <c r="F239" s="94"/>
      <c r="G239" s="95"/>
      <c r="H239" s="92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44"/>
      <c r="B240" s="44"/>
      <c r="C240" s="44"/>
      <c r="D240" s="94"/>
      <c r="E240" s="94"/>
      <c r="F240" s="94"/>
      <c r="G240" s="95"/>
      <c r="H240" s="92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44"/>
      <c r="B241" s="44"/>
      <c r="C241" s="44"/>
      <c r="D241" s="94"/>
      <c r="E241" s="94"/>
      <c r="F241" s="94"/>
      <c r="G241" s="95"/>
      <c r="H241" s="92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44"/>
      <c r="B242" s="44"/>
      <c r="C242" s="44"/>
      <c r="D242" s="94"/>
      <c r="E242" s="94"/>
      <c r="F242" s="94"/>
      <c r="G242" s="95"/>
      <c r="H242" s="92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44"/>
      <c r="B243" s="44"/>
      <c r="C243" s="44"/>
      <c r="D243" s="94"/>
      <c r="E243" s="94"/>
      <c r="F243" s="94"/>
      <c r="G243" s="95"/>
      <c r="H243" s="92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44"/>
      <c r="B244" s="44"/>
      <c r="C244" s="44"/>
      <c r="D244" s="94"/>
      <c r="E244" s="94"/>
      <c r="F244" s="94"/>
      <c r="G244" s="95"/>
      <c r="H244" s="92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44"/>
      <c r="B245" s="44"/>
      <c r="C245" s="44"/>
      <c r="D245" s="94"/>
      <c r="E245" s="94"/>
      <c r="F245" s="94"/>
      <c r="G245" s="95"/>
      <c r="H245" s="92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44"/>
      <c r="B246" s="44"/>
      <c r="C246" s="44"/>
      <c r="D246" s="94"/>
      <c r="E246" s="94"/>
      <c r="F246" s="94"/>
      <c r="G246" s="95"/>
      <c r="H246" s="92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44"/>
      <c r="B247" s="44"/>
      <c r="C247" s="44"/>
      <c r="D247" s="94"/>
      <c r="E247" s="94"/>
      <c r="F247" s="94"/>
      <c r="G247" s="95"/>
      <c r="H247" s="92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44"/>
      <c r="B248" s="44"/>
      <c r="C248" s="44"/>
      <c r="D248" s="94"/>
      <c r="E248" s="94"/>
      <c r="F248" s="94"/>
      <c r="G248" s="95"/>
      <c r="H248" s="92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44"/>
      <c r="B249" s="44"/>
      <c r="C249" s="44"/>
      <c r="D249" s="94"/>
      <c r="E249" s="94"/>
      <c r="F249" s="94"/>
      <c r="G249" s="95"/>
      <c r="H249" s="92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44"/>
      <c r="B250" s="44"/>
      <c r="C250" s="44"/>
      <c r="D250" s="94"/>
      <c r="E250" s="94"/>
      <c r="F250" s="94"/>
      <c r="G250" s="95"/>
      <c r="H250" s="92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44"/>
      <c r="B251" s="44"/>
      <c r="C251" s="44"/>
      <c r="D251" s="94"/>
      <c r="E251" s="94"/>
      <c r="F251" s="94"/>
      <c r="G251" s="95"/>
      <c r="H251" s="92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44"/>
      <c r="B252" s="44"/>
      <c r="C252" s="44"/>
      <c r="D252" s="94"/>
      <c r="E252" s="94"/>
      <c r="F252" s="94"/>
      <c r="G252" s="95"/>
      <c r="H252" s="92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44"/>
      <c r="B253" s="44"/>
      <c r="C253" s="44"/>
      <c r="D253" s="94"/>
      <c r="E253" s="94"/>
      <c r="F253" s="94"/>
      <c r="G253" s="95"/>
      <c r="H253" s="92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44"/>
      <c r="B254" s="44"/>
      <c r="C254" s="44"/>
      <c r="D254" s="94"/>
      <c r="E254" s="94"/>
      <c r="F254" s="94"/>
      <c r="G254" s="95"/>
      <c r="H254" s="92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44"/>
      <c r="B255" s="44"/>
      <c r="C255" s="44"/>
      <c r="D255" s="94"/>
      <c r="E255" s="94"/>
      <c r="F255" s="94"/>
      <c r="G255" s="95"/>
      <c r="H255" s="92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44"/>
      <c r="B256" s="44"/>
      <c r="C256" s="44"/>
      <c r="D256" s="94"/>
      <c r="E256" s="94"/>
      <c r="F256" s="94"/>
      <c r="G256" s="95"/>
      <c r="H256" s="92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3">
    <cfRule type="cellIs" dxfId="7" priority="1" operator="greaterThanOrEqual">
      <formula>0.8</formula>
    </cfRule>
  </conditionalFormatting>
  <conditionalFormatting sqref="F3">
    <cfRule type="cellIs" dxfId="8" priority="2" operator="lessThan">
      <formula>0.8</formula>
    </cfRule>
  </conditionalFormatting>
  <dataValidations>
    <dataValidation type="custom" allowBlank="1" showDropDown="1" sqref="C8:G18">
      <formula1/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0.38"/>
    <col customWidth="1" min="2" max="2" width="17.63"/>
    <col customWidth="1" min="3" max="3" width="10.63"/>
    <col customWidth="1" min="4" max="4" width="18.13"/>
    <col customWidth="1" min="5" max="5" width="12.63"/>
    <col customWidth="1" min="6" max="6" width="18.13"/>
  </cols>
  <sheetData>
    <row r="1" ht="15.75" customHeight="1">
      <c r="B1" s="22" t="s">
        <v>45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75" customHeight="1">
      <c r="B2" s="22"/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5.75" customHeight="1">
      <c r="B3" s="29" t="s">
        <v>47</v>
      </c>
      <c r="C3" s="30" t="s">
        <v>48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B4" s="33" t="s">
        <v>49</v>
      </c>
      <c r="C4" s="36">
        <f>IF($B$1="Geral", 
  COUNTIFS('REGISTRO UNIFICADO'!Y4:Y1000, "Baixo", 'REGISTRO UNIFICADO'!A4:A1000, "&lt;&gt;Duplicado"), 
  COUNTIFS('REGISTRO UNIFICADO'!B4:B1000, $B$1, 'REGISTRO UNIFICADO'!Y4:Y1000, "Baixo", 'REGISTRO UNIFICADO'!A4:A1000, "&lt;&gt;Duplicado")
)</f>
        <v>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B5" s="33" t="s">
        <v>50</v>
      </c>
      <c r="C5" s="36">
        <f>IF($B$1="Geral", 
  COUNTIFS('REGISTRO UNIFICADO'!Y4:Y1000, "Médio", 'REGISTRO UNIFICADO'!A4:A1000, "&lt;&gt;Duplicado"), 
  COUNTIFS('REGISTRO UNIFICADO'!B4:B1000, $B$1, 'REGISTRO UNIFICADO'!Y4:Y1000, "Médio", 'REGISTRO UNIFICADO'!A4:A1000, "&lt;&gt;Duplicado")
)</f>
        <v>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B6" s="33" t="s">
        <v>51</v>
      </c>
      <c r="C6" s="36">
        <f>IF($B$1="Geral", 
  COUNTIFS('REGISTRO UNIFICADO'!Y4:Y1000, "Alto", 'REGISTRO UNIFICADO'!A4:A1000, "&lt;&gt;Duplicado"), 
  COUNTIFS('REGISTRO UNIFICADO'!B4:B1000, $B$1, 'REGISTRO UNIFICADO'!Y4:Y1000, "Alto", 'REGISTRO UNIFICADO'!A4:A1000, "&lt;&gt;Duplicado")
)</f>
        <v>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B7" s="42" t="s">
        <v>52</v>
      </c>
      <c r="C7" s="43">
        <f>IF($B$1="Geral", 
  COUNTIFS('REGISTRO UNIFICADO'!Y4:Y1000, "", 'REGISTRO UNIFICADO'!A4:A1000, "&lt;&gt;Duplicado", 'REGISTRO UNIFICADO'!A4:A1000, "&lt;&gt;"), 
  COUNTIFS('REGISTRO UNIFICADO'!B4:B1000, $B$1, 'REGISTRO UNIFICADO'!Y4:Y1000, "", 'REGISTRO UNIFICADO'!A4:A1000, "&lt;&gt;Duplicado")
)</f>
        <v>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B8" s="22"/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B9" s="45" t="s">
        <v>53</v>
      </c>
      <c r="C9" s="21"/>
      <c r="D9" s="23" t="s">
        <v>42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40.5" customHeight="1">
      <c r="B10" s="47">
        <f>SUM(B13-C24)</f>
        <v>0</v>
      </c>
      <c r="C10" s="21"/>
      <c r="D10" s="31">
        <f>COUNTIFS('REGISTRO UNIFICADO'!A4:A1000, "&lt;&gt;", 'REGISTRO UNIFICADO'!A4:A1000, "&lt;&gt;Duplicado")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B11" s="22"/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B12" s="23" t="s">
        <v>57</v>
      </c>
      <c r="C12" s="21"/>
      <c r="D12" s="52" t="s">
        <v>59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49.5" customHeight="1">
      <c r="B13" s="31">
        <f>IF($B$1="Geral", 
  COUNTIFS('REGISTRO UNIFICADO'!A4:A1000, "&lt;&gt;", 'REGISTRO UNIFICADO'!A4:A1000, "&lt;&gt;Duplicado"), 
  COUNTIFS('REGISTRO UNIFICADO'!B4:B1000, $B$1, 'REGISTRO UNIFICADO'!A4:A1000, "&lt;&gt;Duplicado", 'REGISTRO UNIFICADO'!A4:A1000, "&lt;&gt;")
)</f>
        <v>0</v>
      </c>
      <c r="C13" s="21"/>
      <c r="D13" s="58">
        <f>SUM(C27:C29)</f>
        <v>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B14" s="59"/>
      <c r="C14" s="60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15.75" customHeight="1">
      <c r="B15" s="59"/>
      <c r="C15" s="60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51.75" customHeight="1">
      <c r="A16" s="61"/>
      <c r="B16" s="44"/>
      <c r="C16" s="44"/>
      <c r="D16" s="40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4.5" customHeight="1">
      <c r="A17" s="61"/>
      <c r="B17" s="40"/>
      <c r="C17" s="44"/>
      <c r="D17" s="40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15.75" customHeight="1">
      <c r="B18" s="40" t="s">
        <v>66</v>
      </c>
      <c r="C18" s="44" t="s">
        <v>55</v>
      </c>
      <c r="D18" s="40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15.75" customHeight="1">
      <c r="A19" s="63"/>
      <c r="B19" s="40" t="s">
        <v>67</v>
      </c>
      <c r="C19" s="44">
        <f>IF($B$1="Geral", 
  COUNTIFS('REGISTRO UNIFICADO'!H:H, "Sim", 'REGISTRO UNIFICADO'!A:A, "&lt;&gt;Duplicado"), 
  COUNTIFS('REGISTRO UNIFICADO'!B:B, $B$1, 'REGISTRO UNIFICADO'!H:H, "Sim", 'REGISTRO UNIFICADO'!A:A, "&lt;&gt;Duplicado")
)</f>
        <v>0</v>
      </c>
      <c r="D19" s="40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15.75" customHeight="1">
      <c r="B20" s="40" t="s">
        <v>68</v>
      </c>
      <c r="C20" s="44">
        <f>IF($B$1="Geral", 
  COUNTIFS('REGISTRO UNIFICADO'!J:J, "Sim", 'REGISTRO UNIFICADO'!A:A, "&lt;&gt;Duplicado"), 
  COUNTIFS('REGISTRO UNIFICADO'!B:B, $B$1, 'REGISTRO UNIFICADO'!J:J, "Sim", 'REGISTRO UNIFICADO'!A:A, "&lt;&gt;Duplicado")
)</f>
        <v>0</v>
      </c>
      <c r="D20" s="40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15.75" customHeight="1">
      <c r="B21" s="40"/>
      <c r="C21" s="44"/>
      <c r="D21" s="40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15.75" customHeight="1">
      <c r="B22" s="40" t="s">
        <v>69</v>
      </c>
      <c r="C22" s="44" t="s">
        <v>48</v>
      </c>
      <c r="D22" s="40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15.75" customHeight="1">
      <c r="B23" s="40" t="s">
        <v>42</v>
      </c>
      <c r="C23" s="70">
        <f>B13</f>
        <v>0</v>
      </c>
      <c r="D23" s="40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15.75" customHeight="1">
      <c r="B24" s="40" t="s">
        <v>70</v>
      </c>
      <c r="C24" s="40">
        <f>IF($B$1="Geral", 
  COUNTIFS('REGISTRO UNIFICADO'!X4:X1000, "&lt;&gt;", 'REGISTRO UNIFICADO'!A4:A1000, "&lt;&gt;Duplicado", 'REGISTRO UNIFICADO'!A4:A1000, "&lt;&gt;"), 
  COUNTIFS('REGISTRO UNIFICADO'!B4:B1000, $B$1, 'REGISTRO UNIFICADO'!X4:X1000, "&lt;&gt;", 'REGISTRO UNIFICADO'!A4:A1000, "&lt;&gt;Duplicado")
)</f>
        <v>0</v>
      </c>
      <c r="D24" s="40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15.75" customHeight="1">
      <c r="B25" s="40"/>
      <c r="C25" s="44"/>
      <c r="D25" s="40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15.75" customHeight="1">
      <c r="B26" s="40" t="s">
        <v>54</v>
      </c>
      <c r="C26" s="44" t="s">
        <v>55</v>
      </c>
      <c r="D26" s="40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15.75" customHeight="1">
      <c r="B27" s="40" t="s">
        <v>56</v>
      </c>
      <c r="C27" s="44">
        <f>IF($B$1="Geral", 
  COUNTIFS('REGISTRO UNIFICADO'!T4:T1000, "*Crianças*", 'REGISTRO UNIFICADO'!A4:A1000, "&lt;&gt;Duplicado"), 
  COUNTIFS('REGISTRO UNIFICADO'!B4:B1000, $B$1, 'REGISTRO UNIFICADO'!T4:T1000, "*Crianças*", 'REGISTRO UNIFICADO'!A4:A1000, "&lt;&gt;Duplicado")
)</f>
        <v>0</v>
      </c>
      <c r="D27" s="40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15.75" customHeight="1">
      <c r="B28" s="40" t="s">
        <v>58</v>
      </c>
      <c r="C28" s="44">
        <f>IF($B$1="Geral", 
  COUNTIFS('REGISTRO UNIFICADO'!T4:T1000, "*Adolescentes*", 'REGISTRO UNIFICADO'!A4:A1000, "&lt;&gt;Duplicado"), 
  COUNTIFS('REGISTRO UNIFICADO'!B4:B1000, $B$1, 'REGISTRO UNIFICADO'!T4:T1000, "*Adolescentes*", 'REGISTRO UNIFICADO'!A4:A1000, "&lt;&gt;Duplicado")
)</f>
        <v>0</v>
      </c>
      <c r="D28" s="40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5.75" customHeight="1">
      <c r="B29" s="40" t="s">
        <v>63</v>
      </c>
      <c r="C29" s="44">
        <f>IF($B$1="Geral", 
  COUNTIFS('REGISTRO UNIFICADO'!T4:T1000, "*Idosos*", 'REGISTRO UNIFICADO'!A4:A1000, "&lt;&gt;Duplicado"), 
  COUNTIFS('REGISTRO UNIFICADO'!B4:B1000, $B$1, 'REGISTRO UNIFICADO'!T4:T1000, "*Idosos*", 'REGISTRO UNIFICADO'!A4:A1000, "&lt;&gt;Duplicado")
)</f>
        <v>0</v>
      </c>
      <c r="D29" s="40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5.75" customHeight="1">
      <c r="B30" s="40"/>
      <c r="C30" s="44"/>
      <c r="D30" s="40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5.75" customHeight="1">
      <c r="B31" s="40"/>
      <c r="C31" s="44"/>
      <c r="D31" s="40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5.75" customHeight="1">
      <c r="B32" s="59"/>
      <c r="C32" s="60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5.75" customHeight="1">
      <c r="B33" s="59"/>
      <c r="C33" s="60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5.75" customHeight="1">
      <c r="B34" s="59"/>
      <c r="C34" s="60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15.75" customHeight="1">
      <c r="B35" s="59"/>
      <c r="C35" s="60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>
      <c r="B36" s="59"/>
      <c r="C36" s="60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15.75" customHeight="1">
      <c r="B37" s="59"/>
      <c r="C37" s="6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5.75" customHeight="1">
      <c r="B38" s="59"/>
      <c r="C38" s="60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5.75" customHeight="1">
      <c r="B39" s="59"/>
      <c r="C39" s="60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5.75" customHeight="1">
      <c r="B40" s="59"/>
      <c r="C40" s="60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5.75" customHeight="1">
      <c r="B41" s="59"/>
      <c r="C41" s="60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B42" s="59"/>
      <c r="C42" s="60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B43" s="59"/>
      <c r="C43" s="60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>
      <c r="B44" s="59"/>
      <c r="C44" s="60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B45" s="59"/>
      <c r="C45" s="60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B46" s="59"/>
      <c r="C46" s="60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B47" s="59"/>
      <c r="C47" s="60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B48" s="59"/>
      <c r="C48" s="60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B49" s="59"/>
      <c r="C49" s="60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B50" s="59"/>
      <c r="C50" s="60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B51" s="59"/>
      <c r="C51" s="60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B52" s="59"/>
      <c r="C52" s="60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B53" s="59"/>
      <c r="C53" s="60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5.75" customHeight="1">
      <c r="B54" s="59"/>
      <c r="C54" s="60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5.75" customHeight="1">
      <c r="B55" s="59"/>
      <c r="C55" s="60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5.75" customHeight="1">
      <c r="B56" s="59"/>
      <c r="C56" s="60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>
      <c r="B57" s="59"/>
      <c r="C57" s="60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>
      <c r="B58" s="59"/>
      <c r="C58" s="60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>
      <c r="B59" s="59"/>
      <c r="C59" s="60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B60" s="59"/>
      <c r="C60" s="60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B61" s="59"/>
      <c r="C61" s="60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>
      <c r="B62" s="59"/>
      <c r="C62" s="60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>
      <c r="B63" s="59"/>
      <c r="C63" s="60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B64" s="59"/>
      <c r="C64" s="60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B65" s="59"/>
      <c r="C65" s="60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B66" s="59"/>
      <c r="C66" s="60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B67" s="59"/>
      <c r="C67" s="60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B68" s="59"/>
      <c r="C68" s="60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B69" s="59"/>
      <c r="C69" s="60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B70" s="59"/>
      <c r="C70" s="60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B71" s="59"/>
      <c r="C71" s="60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B72" s="59"/>
      <c r="C72" s="60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B73" s="59"/>
      <c r="C73" s="60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B74" s="59"/>
      <c r="C74" s="60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B75" s="59"/>
      <c r="C75" s="60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B76" s="59"/>
      <c r="C76" s="60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B77" s="59"/>
      <c r="C77" s="60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B78" s="59"/>
      <c r="C78" s="60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B79" s="59"/>
      <c r="C79" s="60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B80" s="59"/>
      <c r="C80" s="60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B81" s="59"/>
      <c r="C81" s="60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B82" s="59"/>
      <c r="C82" s="60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B83" s="59"/>
      <c r="C83" s="60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B84" s="59"/>
      <c r="C84" s="60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B85" s="59"/>
      <c r="C85" s="60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B86" s="59"/>
      <c r="C86" s="60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B87" s="59"/>
      <c r="C87" s="60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B88" s="59"/>
      <c r="C88" s="60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B89" s="59"/>
      <c r="C89" s="60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B90" s="59"/>
      <c r="C90" s="60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B91" s="59"/>
      <c r="C91" s="60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B92" s="59"/>
      <c r="C92" s="60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B93" s="59"/>
      <c r="C93" s="60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B94" s="59"/>
      <c r="C94" s="60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B95" s="59"/>
      <c r="C95" s="60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B96" s="59"/>
      <c r="C96" s="60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B97" s="59"/>
      <c r="C97" s="60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B98" s="59"/>
      <c r="C98" s="60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B99" s="59"/>
      <c r="C99" s="60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B100" s="59"/>
      <c r="C100" s="60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B101" s="59"/>
      <c r="C101" s="60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B102" s="59"/>
      <c r="C102" s="60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B103" s="59"/>
      <c r="C103" s="60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B104" s="59"/>
      <c r="C104" s="60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B105" s="59"/>
      <c r="C105" s="60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B106" s="59"/>
      <c r="C106" s="60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B107" s="59"/>
      <c r="C107" s="60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B108" s="59"/>
      <c r="C108" s="60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B109" s="59"/>
      <c r="C109" s="60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B110" s="59"/>
      <c r="C110" s="60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B111" s="59"/>
      <c r="C111" s="60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B112" s="59"/>
      <c r="C112" s="60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B113" s="59"/>
      <c r="C113" s="60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B114" s="59"/>
      <c r="C114" s="60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B115" s="59"/>
      <c r="C115" s="60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B116" s="59"/>
      <c r="C116" s="60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B117" s="59"/>
      <c r="C117" s="60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B118" s="59"/>
      <c r="C118" s="60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B119" s="59"/>
      <c r="C119" s="60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B120" s="59"/>
      <c r="C120" s="60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B121" s="59"/>
      <c r="C121" s="60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B122" s="59"/>
      <c r="C122" s="60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B123" s="59"/>
      <c r="C123" s="60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B124" s="59"/>
      <c r="C124" s="60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B125" s="59"/>
      <c r="C125" s="60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B126" s="59"/>
      <c r="C126" s="60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B127" s="59"/>
      <c r="C127" s="60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B128" s="59"/>
      <c r="C128" s="60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B129" s="59"/>
      <c r="C129" s="60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B130" s="59"/>
      <c r="C130" s="60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B131" s="59"/>
      <c r="C131" s="60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B132" s="59"/>
      <c r="C132" s="60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B133" s="59"/>
      <c r="C133" s="60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B134" s="59"/>
      <c r="C134" s="60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B135" s="59"/>
      <c r="C135" s="60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B136" s="59"/>
      <c r="C136" s="60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B137" s="59"/>
      <c r="C137" s="60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B138" s="59"/>
      <c r="C138" s="60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B139" s="59"/>
      <c r="C139" s="60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B140" s="59"/>
      <c r="C140" s="60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B141" s="59"/>
      <c r="C141" s="60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B142" s="59"/>
      <c r="C142" s="60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B143" s="59"/>
      <c r="C143" s="60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B144" s="59"/>
      <c r="C144" s="60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B145" s="59"/>
      <c r="C145" s="60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B146" s="59"/>
      <c r="C146" s="60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B147" s="59"/>
      <c r="C147" s="60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B148" s="59"/>
      <c r="C148" s="60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B149" s="59"/>
      <c r="C149" s="60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B150" s="59"/>
      <c r="C150" s="60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B151" s="59"/>
      <c r="C151" s="60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B152" s="59"/>
      <c r="C152" s="60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B153" s="59"/>
      <c r="C153" s="60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B154" s="59"/>
      <c r="C154" s="60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B155" s="59"/>
      <c r="C155" s="60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B156" s="59"/>
      <c r="C156" s="60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B157" s="59"/>
      <c r="C157" s="60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B158" s="59"/>
      <c r="C158" s="60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B159" s="59"/>
      <c r="C159" s="60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B160" s="59"/>
      <c r="C160" s="60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B161" s="59"/>
      <c r="C161" s="60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B162" s="59"/>
      <c r="C162" s="60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B163" s="59"/>
      <c r="C163" s="60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B164" s="59"/>
      <c r="C164" s="60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B165" s="59"/>
      <c r="C165" s="60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B166" s="59"/>
      <c r="C166" s="60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B167" s="59"/>
      <c r="C167" s="60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B168" s="59"/>
      <c r="C168" s="60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B169" s="59"/>
      <c r="C169" s="60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B170" s="59"/>
      <c r="C170" s="60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B171" s="59"/>
      <c r="C171" s="60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B172" s="59"/>
      <c r="C172" s="60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B173" s="59"/>
      <c r="C173" s="60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B174" s="59"/>
      <c r="C174" s="60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B175" s="59"/>
      <c r="C175" s="60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B176" s="59"/>
      <c r="C176" s="60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B177" s="59"/>
      <c r="C177" s="60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B178" s="59"/>
      <c r="C178" s="60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B179" s="59"/>
      <c r="C179" s="60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B180" s="59"/>
      <c r="C180" s="60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B181" s="59"/>
      <c r="C181" s="60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B182" s="59"/>
      <c r="C182" s="60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B183" s="59"/>
      <c r="C183" s="60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B184" s="59"/>
      <c r="C184" s="60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B185" s="59"/>
      <c r="C185" s="60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B186" s="59"/>
      <c r="C186" s="60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B187" s="59"/>
      <c r="C187" s="60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B188" s="59"/>
      <c r="C188" s="60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B189" s="59"/>
      <c r="C189" s="60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B190" s="59"/>
      <c r="C190" s="60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B191" s="59"/>
      <c r="C191" s="60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B192" s="59"/>
      <c r="C192" s="60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B193" s="59"/>
      <c r="C193" s="60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B194" s="59"/>
      <c r="C194" s="60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B195" s="59"/>
      <c r="C195" s="60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B196" s="59"/>
      <c r="C196" s="60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B197" s="59"/>
      <c r="C197" s="60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B198" s="59"/>
      <c r="C198" s="60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B199" s="59"/>
      <c r="C199" s="60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B200" s="59"/>
      <c r="C200" s="60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B201" s="59"/>
      <c r="C201" s="60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B202" s="59"/>
      <c r="C202" s="60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B203" s="59"/>
      <c r="C203" s="60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B204" s="59"/>
      <c r="C204" s="60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B205" s="59"/>
      <c r="C205" s="60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B206" s="59"/>
      <c r="C206" s="60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B207" s="59"/>
      <c r="C207" s="60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B208" s="59"/>
      <c r="C208" s="60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B209" s="59"/>
      <c r="C209" s="60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B210" s="59"/>
      <c r="C210" s="60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B211" s="59"/>
      <c r="C211" s="60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B212" s="59"/>
      <c r="C212" s="60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B213" s="59"/>
      <c r="C213" s="60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B214" s="59"/>
      <c r="C214" s="60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B215" s="59"/>
      <c r="C215" s="60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B216" s="59"/>
      <c r="C216" s="60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B217" s="59"/>
      <c r="C217" s="60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B218" s="59"/>
      <c r="C218" s="60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B219" s="59"/>
      <c r="C219" s="60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B220" s="59"/>
      <c r="C220" s="60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B221" s="59"/>
      <c r="C221" s="60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B222" s="59"/>
      <c r="C222" s="60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B223" s="59"/>
      <c r="C223" s="60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B224" s="59"/>
      <c r="C224" s="60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B225" s="59"/>
      <c r="C225" s="60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B226" s="59"/>
      <c r="C226" s="60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B227" s="59"/>
      <c r="C227" s="60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B228" s="59"/>
      <c r="C228" s="60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B229" s="59"/>
      <c r="C229" s="60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dataValidations>
    <dataValidation type="list" allowBlank="1" showErrorMessage="1" sqref="B1">
      <formula1>"Geral"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0.38"/>
    <col customWidth="1" min="2" max="2" width="17.25"/>
    <col customWidth="1" min="3" max="3" width="5.75"/>
    <col customWidth="1" min="4" max="4" width="17.25"/>
    <col customWidth="1" min="5" max="5" width="7.38"/>
    <col customWidth="1" min="6" max="6" width="20.38"/>
    <col customWidth="1" min="7" max="7" width="8.25"/>
    <col customWidth="1" min="8" max="8" width="18.88"/>
    <col customWidth="1" min="9" max="9" width="16.13"/>
    <col customWidth="1" min="10" max="10" width="62.0"/>
  </cols>
  <sheetData>
    <row r="1" ht="1.5" customHeight="1">
      <c r="A1" s="20"/>
      <c r="B1" s="20"/>
      <c r="C1" s="20"/>
      <c r="D1" s="20"/>
      <c r="E1" s="20"/>
      <c r="F1" s="20"/>
      <c r="G1" s="20"/>
      <c r="H1" s="21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 ht="15.75" customHeight="1">
      <c r="A2" s="20"/>
      <c r="B2" s="23" t="s">
        <v>42</v>
      </c>
      <c r="C2" s="24"/>
      <c r="D2" s="25" t="s">
        <v>43</v>
      </c>
      <c r="E2" s="20"/>
      <c r="F2" s="26" t="s">
        <v>44</v>
      </c>
      <c r="G2" s="20"/>
      <c r="H2" s="27" t="s">
        <v>46</v>
      </c>
      <c r="I2" s="28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48.0" customHeight="1">
      <c r="A3" s="20"/>
      <c r="B3" s="31">
        <f>COUNTIFS('REGISTRO UNIFICADO'!A4:A1000, "&lt;&gt;", 'REGISTRO UNIFICADO'!A4:A1000, "&lt;&gt;Duplicado")</f>
        <v>0</v>
      </c>
      <c r="C3" s="32"/>
      <c r="D3" s="34">
        <f>IFERROR(__xludf.DUMMYFUNCTION("SUMPRODUCT(REGEXMATCH('REGISTRO UNIFICADO'!T4:T1000, ""Crianças|Adolescentes|Idosos"") * ('REGISTRO UNIFICADO'!A4:A1000 &lt;&gt; ""Duplicado""))"),0.0)</f>
        <v>0</v>
      </c>
      <c r="E3" s="22"/>
      <c r="F3" s="35">
        <f>COUNTIFS('REGISTRO UNIFICADO'!U:U, "Sim", 'REGISTRO UNIFICADO'!A:A, "&lt;&gt;Duplicado")</f>
        <v>0</v>
      </c>
      <c r="G3" s="22"/>
      <c r="H3" s="38">
        <f>COUNTIFS('REGISTRO UNIFICADO'!AC4:AC1000, "&lt;&gt;", 'REGISTRO UNIFICADO'!A4:A1000, "&lt;&gt;Duplicado")</f>
        <v>0</v>
      </c>
      <c r="I3" s="39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ht="15.75" customHeight="1">
      <c r="A4" s="40"/>
      <c r="B4" s="40"/>
      <c r="C4" s="40"/>
      <c r="D4" s="40"/>
      <c r="E4" s="40"/>
      <c r="F4" s="40"/>
      <c r="G4" s="40"/>
      <c r="H4" s="41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ht="15.75" customHeight="1">
      <c r="A5" s="40"/>
      <c r="B5" s="40"/>
      <c r="C5" s="40"/>
      <c r="D5" s="40"/>
      <c r="E5" s="40"/>
      <c r="F5" s="40"/>
      <c r="G5" s="40"/>
      <c r="H5" s="4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ht="15.75" customHeight="1">
      <c r="A6" s="40"/>
      <c r="B6" s="40"/>
      <c r="C6" s="40"/>
      <c r="D6" s="40"/>
      <c r="E6" s="40"/>
      <c r="F6" s="40"/>
      <c r="G6" s="40"/>
      <c r="H6" s="4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ht="15.75" customHeight="1">
      <c r="A7" s="40"/>
      <c r="B7" s="40"/>
      <c r="C7" s="40"/>
      <c r="D7" s="40"/>
      <c r="E7" s="40"/>
      <c r="F7" s="40"/>
      <c r="G7" s="40"/>
      <c r="H7" s="41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ht="15.75" customHeight="1">
      <c r="A8" s="40"/>
      <c r="B8" s="40"/>
      <c r="C8" s="40"/>
      <c r="D8" s="40"/>
      <c r="E8" s="40"/>
      <c r="F8" s="40"/>
      <c r="G8" s="40"/>
      <c r="H8" s="41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ht="15.75" customHeight="1">
      <c r="A9" s="40" t="str">
        <f>IFERROR(__xludf.DUMMYFUNCTION("QUERY('REGISTRO UNIFICADO'!A4:BB1000, 
  ""SELECT B, COUNT(A) 
   WHERE AA IS NOT NULL AND A &lt;&gt; 'Duplicado'
   GROUP BY B
   ORDER BY COUNT(A) DESC 
   LABEL B 'Área', COUNT(A) 'Planos de Ação'"", 
0)"),"Área")</f>
        <v>Área</v>
      </c>
      <c r="B9" s="40" t="str">
        <f>IFERROR(__xludf.DUMMYFUNCTION("""COMPUTED_VALUE"""),"Planos de Ação")</f>
        <v>Planos de Ação</v>
      </c>
      <c r="C9" s="40"/>
      <c r="D9" s="40"/>
      <c r="E9" s="40"/>
      <c r="F9" s="40" t="str">
        <f>IFERROR(__xludf.DUMMYFUNCTION("QUERY(
  {
   'REGISTRO UNIFICADO'!A4:A1000 , 
   ARRAYFORMULA(IF('REGISTRO UNIFICADO'!Q4:Q1000="""", ""Não Preenchido"", 'REGISTRO UNIFICADO'!Q4:Q1000))
  }, 
  ""SELECT Col2, COUNT(Col1) 
   WHERE Col1 IS NOT NULL AND Col1 &lt;&gt; 'Duplicado'
   GROUP BY Col"&amp;"2 
   ORDER BY COUNT(Col1) DESC 
   LABEL Col2 'Base Legal', COUNT(Col1) 'Qtd'"", 
0)"),"Base Legal")</f>
        <v>Base Legal</v>
      </c>
      <c r="G9" s="40" t="str">
        <f>IFERROR(__xludf.DUMMYFUNCTION("""COMPUTED_VALUE"""),"Qtd")</f>
        <v>Qtd</v>
      </c>
      <c r="H9" s="44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</row>
    <row r="10" ht="15.75" customHeight="1">
      <c r="A10" s="40"/>
      <c r="B10" s="40"/>
      <c r="C10" s="40"/>
      <c r="D10" s="40"/>
      <c r="E10" s="40"/>
      <c r="F10" s="40"/>
      <c r="G10" s="40"/>
      <c r="H10" s="44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</row>
    <row r="11" ht="15.75" customHeight="1">
      <c r="A11" s="40"/>
      <c r="B11" s="40"/>
      <c r="C11" s="40"/>
      <c r="D11" s="40"/>
      <c r="E11" s="40"/>
      <c r="F11" s="40"/>
      <c r="G11" s="40"/>
      <c r="H11" s="44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</row>
    <row r="12" ht="15.75" customHeight="1">
      <c r="A12" s="40"/>
      <c r="B12" s="40"/>
      <c r="C12" s="40"/>
      <c r="D12" s="40"/>
      <c r="E12" s="40"/>
      <c r="F12" s="40"/>
      <c r="G12" s="40"/>
      <c r="H12" s="44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</row>
    <row r="13" ht="15.75" customHeight="1">
      <c r="A13" s="40"/>
      <c r="B13" s="40"/>
      <c r="C13" s="40"/>
      <c r="D13" s="40"/>
      <c r="E13" s="40"/>
      <c r="F13" s="40"/>
      <c r="G13" s="40"/>
      <c r="H13" s="44"/>
      <c r="I13" s="40"/>
      <c r="J13" s="40"/>
      <c r="K13" s="40"/>
      <c r="L13" s="40" t="s">
        <v>54</v>
      </c>
      <c r="M13" s="44" t="s">
        <v>55</v>
      </c>
      <c r="N13" s="40" t="s">
        <v>42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</row>
    <row r="14" ht="15.75" customHeight="1">
      <c r="A14" s="40"/>
      <c r="B14" s="40"/>
      <c r="C14" s="40"/>
      <c r="D14" s="40"/>
      <c r="E14" s="40"/>
      <c r="F14" s="40"/>
      <c r="G14" s="40"/>
      <c r="H14" s="44"/>
      <c r="I14" s="40"/>
      <c r="J14" s="40"/>
      <c r="K14" s="40"/>
      <c r="L14" s="40" t="s">
        <v>56</v>
      </c>
      <c r="M14" s="44">
        <f>COUNTIF('REGISTRO UNIFICADO'!T:T, "*Crianças*")</f>
        <v>0</v>
      </c>
      <c r="N14" s="50">
        <f>B3</f>
        <v>0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 ht="15.75" customHeight="1">
      <c r="A15" s="40"/>
      <c r="B15" s="40"/>
      <c r="C15" s="40"/>
      <c r="D15" s="40"/>
      <c r="E15" s="40"/>
      <c r="F15" s="40"/>
      <c r="G15" s="40"/>
      <c r="H15" s="44"/>
      <c r="I15" s="40"/>
      <c r="J15" s="40"/>
      <c r="K15" s="40"/>
      <c r="L15" s="40" t="s">
        <v>58</v>
      </c>
      <c r="M15" s="44">
        <f>COUNTIF('REGISTRO UNIFICADO'!T:T, "*Adolescentes*")</f>
        <v>0</v>
      </c>
      <c r="N15" s="50">
        <f>B3</f>
        <v>0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</row>
    <row r="16" ht="15.75" customHeight="1">
      <c r="A16" s="40"/>
      <c r="B16" s="40"/>
      <c r="C16" s="40"/>
      <c r="D16" s="40"/>
      <c r="E16" s="40"/>
      <c r="F16" s="40"/>
      <c r="G16" s="40"/>
      <c r="H16" s="44"/>
      <c r="I16" s="40"/>
      <c r="J16" s="40"/>
      <c r="K16" s="40"/>
      <c r="L16" s="40" t="s">
        <v>63</v>
      </c>
      <c r="M16" s="44">
        <f>COUNTIF('REGISTRO UNIFICADO'!T:T, "*Idosos*")</f>
        <v>0</v>
      </c>
      <c r="N16" s="50">
        <f>B3</f>
        <v>0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</row>
    <row r="17" ht="15.75" customHeight="1">
      <c r="A17" s="40"/>
      <c r="B17" s="40"/>
      <c r="C17" s="40"/>
      <c r="D17" s="40"/>
      <c r="E17" s="40"/>
      <c r="F17" s="40"/>
      <c r="G17" s="40"/>
      <c r="H17" s="44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</row>
    <row r="18" ht="15.75" customHeight="1">
      <c r="A18" s="40" t="str">
        <f>IFERROR(__xludf.DUMMYFUNCTION("QUERY('REGISTRO UNIFICADO'!A4:BB1000, ""SELECT R, COUNT(A) WHERE A IS NOT NULL AND A &lt;&gt; 'Duplicado' GROUP BY R"", 0)"),"")</f>
        <v/>
      </c>
      <c r="B18" s="40" t="str">
        <f>IFERROR(__xludf.DUMMYFUNCTION("""COMPUTED_VALUE"""),"count ")</f>
        <v>count </v>
      </c>
      <c r="C18" s="40"/>
      <c r="D18" s="40"/>
      <c r="E18" s="40"/>
      <c r="F18" s="40" t="str">
        <f>IFERROR(__xludf.DUMMYFUNCTION("QUERY('REGISTRO UNIFICADO'!A4:BB1000, 
  ""SELECT Y, COUNT(A) 
   WHERE A IS NOT NULL AND Y IS NOT NULL AND A &lt;&gt; 'Duplicado'
   GROUP BY Y 
   ORDER BY COUNT(A) DESC 
   LABEL Y 'Risco', COUNT(A) 'Qtd'"", 
0)"),"Risco")</f>
        <v>Risco</v>
      </c>
      <c r="G18" s="40" t="str">
        <f>IFERROR(__xludf.DUMMYFUNCTION("""COMPUTED_VALUE"""),"Qtd")</f>
        <v>Qtd</v>
      </c>
      <c r="H18" s="44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</row>
    <row r="19" ht="15.75" customHeight="1">
      <c r="A19" s="40"/>
      <c r="B19" s="40"/>
      <c r="C19" s="40"/>
      <c r="D19" s="40"/>
      <c r="E19" s="40"/>
      <c r="F19" s="40"/>
      <c r="G19" s="40"/>
      <c r="H19" s="44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</row>
    <row r="20" ht="15.75" customHeight="1">
      <c r="A20" s="40"/>
      <c r="B20" s="40"/>
      <c r="C20" s="40"/>
      <c r="D20" s="40"/>
      <c r="E20" s="40"/>
      <c r="F20" s="40"/>
      <c r="G20" s="40"/>
      <c r="H20" s="44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</row>
    <row r="21" ht="15.75" customHeight="1">
      <c r="A21" s="40"/>
      <c r="B21" s="40"/>
      <c r="C21" s="40"/>
      <c r="D21" s="40"/>
      <c r="E21" s="40"/>
      <c r="F21" s="40"/>
      <c r="G21" s="40"/>
      <c r="H21" s="44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</row>
    <row r="22" ht="15.75" customHeight="1">
      <c r="A22" s="59"/>
      <c r="B22" s="59"/>
      <c r="C22" s="59"/>
      <c r="D22" s="59"/>
      <c r="E22" s="59"/>
      <c r="F22" s="59"/>
      <c r="G22" s="59"/>
      <c r="H22" s="44" t="str">
        <f>IFERROR(__xludf.DUMMYFUNCTION("{
  QUERY(
    {
     'REGISTRO UNIFICADO'!A4:A1000 , 
     ARRAYFORMULA(IF('REGISTRO UNIFICADO'!Q4:Q1000="""", ""Não Preenchido"", 'REGISTRO UNIFICADO'!Q4:Q1000))
    }, 
    ""SELECT Col2, COUNT(Col1) 
     WHERE Col1 IS NOT NULL AND Col1 &lt;&gt; 'Duplicado'"&amp;"
     GROUP BY Col2 
     ORDER BY COUNT(Col1) DESC 
     LABEL Col2 'Base Legal', COUNT(Col1) 'Quantidade'"", 
  0);
  {""TOTAL"" , COUNTIFS('REGISTRO UNIFICADO'!A4:A1000, ""&lt;&gt;"", 'REGISTRO UNIFICADO'!A4:A1000, ""&lt;&gt;Duplicado"")}
}"),"Base Legal")</f>
        <v>Base Legal</v>
      </c>
      <c r="I22" s="40" t="str">
        <f>IFERROR(__xludf.DUMMYFUNCTION("""COMPUTED_VALUE"""),"Quantidade")</f>
        <v>Quantidade</v>
      </c>
      <c r="J22" s="40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</row>
    <row r="23" ht="15.75" customHeight="1">
      <c r="A23" s="59"/>
      <c r="B23" s="59"/>
      <c r="C23" s="59"/>
      <c r="D23" s="59"/>
      <c r="E23" s="59"/>
      <c r="F23" s="59"/>
      <c r="G23" s="59"/>
      <c r="H23" s="44" t="str">
        <f>IFERROR(__xludf.DUMMYFUNCTION("""COMPUTED_VALUE"""),"TOTAL")</f>
        <v>TOTAL</v>
      </c>
      <c r="I23" s="69">
        <f>IFERROR(__xludf.DUMMYFUNCTION("""COMPUTED_VALUE"""),0.0)</f>
        <v>0</v>
      </c>
      <c r="J23" s="40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</row>
    <row r="24" ht="15.75" customHeight="1">
      <c r="A24" s="59"/>
      <c r="B24" s="59"/>
      <c r="C24" s="59"/>
      <c r="D24" s="59"/>
      <c r="E24" s="59"/>
      <c r="F24" s="59"/>
      <c r="G24" s="59"/>
      <c r="H24" s="44"/>
      <c r="I24" s="69"/>
      <c r="J24" s="40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</row>
    <row r="25" ht="15.75" customHeight="1">
      <c r="A25" s="59"/>
      <c r="B25" s="59"/>
      <c r="C25" s="59"/>
      <c r="D25" s="59"/>
      <c r="E25" s="59"/>
      <c r="F25" s="59"/>
      <c r="G25" s="59"/>
      <c r="H25" s="44"/>
      <c r="I25" s="69"/>
      <c r="J25" s="40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</row>
    <row r="26" ht="15.75" customHeight="1">
      <c r="A26" s="59"/>
      <c r="B26" s="59"/>
      <c r="C26" s="59"/>
      <c r="D26" s="59"/>
      <c r="E26" s="59"/>
      <c r="F26" s="59"/>
      <c r="G26" s="59"/>
      <c r="H26" s="44"/>
      <c r="I26" s="69"/>
      <c r="J26" s="40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</row>
    <row r="27" ht="15.75" customHeight="1">
      <c r="A27" s="59"/>
      <c r="B27" s="59"/>
      <c r="C27" s="59"/>
      <c r="D27" s="59"/>
      <c r="E27" s="59"/>
      <c r="F27" s="59"/>
      <c r="G27" s="59"/>
      <c r="H27" s="44"/>
      <c r="I27" s="69"/>
      <c r="J27" s="40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</row>
    <row r="28" ht="15.75" customHeight="1">
      <c r="A28" s="59"/>
      <c r="B28" s="59"/>
      <c r="C28" s="59"/>
      <c r="D28" s="59"/>
      <c r="E28" s="59"/>
      <c r="F28" s="59"/>
      <c r="G28" s="59"/>
      <c r="H28" s="44"/>
      <c r="I28" s="69"/>
      <c r="J28" s="40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</row>
    <row r="29" ht="15.75" customHeight="1">
      <c r="A29" s="59"/>
      <c r="B29" s="59"/>
      <c r="C29" s="59"/>
      <c r="D29" s="59"/>
      <c r="E29" s="59"/>
      <c r="F29" s="59"/>
      <c r="G29" s="59"/>
      <c r="H29" s="44"/>
      <c r="I29" s="69"/>
      <c r="J29" s="40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</row>
    <row r="30" ht="15.75" customHeight="1">
      <c r="A30" s="59"/>
      <c r="B30" s="59"/>
      <c r="C30" s="59"/>
      <c r="D30" s="59"/>
      <c r="E30" s="59"/>
      <c r="F30" s="59"/>
      <c r="G30" s="59"/>
      <c r="H30" s="76"/>
      <c r="I30" s="77"/>
      <c r="J30" s="40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</row>
    <row r="31" ht="15.75" customHeight="1">
      <c r="A31" s="59"/>
      <c r="B31" s="59"/>
      <c r="C31" s="59"/>
      <c r="D31" s="59"/>
      <c r="E31" s="59"/>
      <c r="F31" s="59"/>
      <c r="G31" s="59"/>
      <c r="H31" s="44"/>
      <c r="I31" s="40"/>
      <c r="J31" s="40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</row>
    <row r="32" ht="15.75" customHeight="1">
      <c r="A32" s="59"/>
      <c r="B32" s="59"/>
      <c r="C32" s="59"/>
      <c r="D32" s="59"/>
      <c r="E32" s="59"/>
      <c r="F32" s="59"/>
      <c r="G32" s="59"/>
      <c r="H32" s="44"/>
      <c r="I32" s="40"/>
      <c r="J32" s="40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</row>
    <row r="33" ht="15.75" customHeight="1">
      <c r="A33" s="59"/>
      <c r="B33" s="59"/>
      <c r="C33" s="59"/>
      <c r="D33" s="59"/>
      <c r="E33" s="59"/>
      <c r="F33" s="59"/>
      <c r="G33" s="59"/>
      <c r="H33" s="44"/>
      <c r="I33" s="40"/>
      <c r="J33" s="40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</row>
    <row r="34" ht="15.75" customHeight="1">
      <c r="A34" s="59"/>
      <c r="B34" s="59"/>
      <c r="C34" s="59"/>
      <c r="D34" s="59"/>
      <c r="E34" s="59"/>
      <c r="F34" s="59"/>
      <c r="G34" s="59"/>
      <c r="H34" s="60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</row>
    <row r="35" ht="15.75" customHeight="1">
      <c r="A35" s="59"/>
      <c r="B35" s="59"/>
      <c r="C35" s="59"/>
      <c r="D35" s="59"/>
      <c r="E35" s="59"/>
      <c r="F35" s="59"/>
      <c r="G35" s="59"/>
      <c r="H35" s="60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</row>
    <row r="36" ht="15.75" customHeight="1">
      <c r="A36" s="59"/>
      <c r="B36" s="59"/>
      <c r="C36" s="59"/>
      <c r="D36" s="59"/>
      <c r="E36" s="59"/>
      <c r="F36" s="59"/>
      <c r="G36" s="59"/>
      <c r="H36" s="60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</row>
    <row r="37" ht="15.75" customHeight="1">
      <c r="A37" s="59"/>
      <c r="B37" s="59"/>
      <c r="C37" s="59"/>
      <c r="D37" s="59"/>
      <c r="E37" s="59"/>
      <c r="F37" s="59"/>
      <c r="G37" s="59"/>
      <c r="H37" s="60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</row>
    <row r="38" ht="15.75" customHeight="1">
      <c r="A38" s="59"/>
      <c r="B38" s="59"/>
      <c r="C38" s="59"/>
      <c r="D38" s="59"/>
      <c r="E38" s="59"/>
      <c r="F38" s="59"/>
      <c r="G38" s="59"/>
      <c r="H38" s="60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</row>
    <row r="39" ht="15.75" customHeight="1">
      <c r="A39" s="59"/>
      <c r="B39" s="59"/>
      <c r="C39" s="59"/>
      <c r="D39" s="59"/>
      <c r="E39" s="59"/>
      <c r="F39" s="59"/>
      <c r="G39" s="59"/>
      <c r="H39" s="60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</row>
    <row r="40" ht="15.75" customHeight="1">
      <c r="A40" s="59"/>
      <c r="B40" s="59"/>
      <c r="C40" s="59"/>
      <c r="D40" s="59"/>
      <c r="E40" s="59"/>
      <c r="F40" s="59"/>
      <c r="G40" s="59"/>
      <c r="H40" s="60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</row>
    <row r="41" ht="15.75" customHeight="1">
      <c r="A41" s="59"/>
      <c r="B41" s="59"/>
      <c r="C41" s="59"/>
      <c r="D41" s="59"/>
      <c r="E41" s="59"/>
      <c r="F41" s="59"/>
      <c r="G41" s="59"/>
      <c r="H41" s="60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</row>
    <row r="42" ht="15.75" customHeight="1">
      <c r="A42" s="59"/>
      <c r="B42" s="59"/>
      <c r="C42" s="59"/>
      <c r="D42" s="59"/>
      <c r="E42" s="59"/>
      <c r="F42" s="59"/>
      <c r="G42" s="59"/>
      <c r="H42" s="60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</row>
    <row r="43" ht="15.75" customHeight="1">
      <c r="A43" s="59"/>
      <c r="B43" s="59"/>
      <c r="C43" s="59"/>
      <c r="D43" s="59"/>
      <c r="E43" s="59"/>
      <c r="F43" s="59"/>
      <c r="G43" s="59"/>
      <c r="H43" s="60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</row>
    <row r="44" ht="15.75" customHeight="1">
      <c r="A44" s="59"/>
      <c r="B44" s="59"/>
      <c r="C44" s="59"/>
      <c r="D44" s="59"/>
      <c r="E44" s="59"/>
      <c r="F44" s="59"/>
      <c r="G44" s="59"/>
      <c r="H44" s="60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</row>
    <row r="45" ht="15.75" customHeight="1">
      <c r="A45" s="59"/>
      <c r="B45" s="59"/>
      <c r="C45" s="59"/>
      <c r="D45" s="59"/>
      <c r="E45" s="59"/>
      <c r="F45" s="59"/>
      <c r="G45" s="59"/>
      <c r="H45" s="60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</row>
    <row r="46" ht="15.75" customHeight="1">
      <c r="A46" s="59"/>
      <c r="B46" s="59"/>
      <c r="C46" s="59"/>
      <c r="D46" s="59"/>
      <c r="E46" s="59"/>
      <c r="F46" s="59"/>
      <c r="G46" s="59"/>
      <c r="H46" s="60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</row>
    <row r="47" ht="15.75" customHeight="1">
      <c r="A47" s="59"/>
      <c r="B47" s="59"/>
      <c r="C47" s="59"/>
      <c r="D47" s="59"/>
      <c r="E47" s="59"/>
      <c r="F47" s="59"/>
      <c r="G47" s="59"/>
      <c r="H47" s="60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</row>
    <row r="48" ht="15.75" customHeight="1">
      <c r="A48" s="59"/>
      <c r="B48" s="59"/>
      <c r="C48" s="59"/>
      <c r="D48" s="59"/>
      <c r="E48" s="59"/>
      <c r="F48" s="59"/>
      <c r="G48" s="59"/>
      <c r="H48" s="60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</row>
    <row r="49" ht="15.75" customHeight="1">
      <c r="A49" s="59"/>
      <c r="B49" s="59"/>
      <c r="C49" s="59"/>
      <c r="D49" s="59"/>
      <c r="E49" s="59"/>
      <c r="F49" s="59"/>
      <c r="G49" s="59"/>
      <c r="H49" s="60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</row>
    <row r="50" ht="15.75" customHeight="1">
      <c r="A50" s="59"/>
      <c r="B50" s="59"/>
      <c r="C50" s="59"/>
      <c r="D50" s="59"/>
      <c r="E50" s="59"/>
      <c r="F50" s="59"/>
      <c r="G50" s="59"/>
      <c r="H50" s="60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</row>
    <row r="51" ht="15.75" customHeight="1">
      <c r="A51" s="59"/>
      <c r="B51" s="59"/>
      <c r="C51" s="59"/>
      <c r="D51" s="59"/>
      <c r="E51" s="59"/>
      <c r="F51" s="59"/>
      <c r="G51" s="59"/>
      <c r="H51" s="60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</row>
    <row r="52" ht="15.75" customHeight="1">
      <c r="A52" s="59"/>
      <c r="B52" s="59"/>
      <c r="C52" s="59"/>
      <c r="D52" s="59"/>
      <c r="E52" s="59"/>
      <c r="F52" s="59"/>
      <c r="G52" s="59"/>
      <c r="H52" s="60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</row>
    <row r="53" ht="15.75" customHeight="1">
      <c r="A53" s="59"/>
      <c r="B53" s="59"/>
      <c r="C53" s="59"/>
      <c r="D53" s="59"/>
      <c r="E53" s="59"/>
      <c r="F53" s="59"/>
      <c r="G53" s="59"/>
      <c r="H53" s="60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</row>
    <row r="54" ht="15.75" customHeight="1">
      <c r="A54" s="59"/>
      <c r="B54" s="59"/>
      <c r="C54" s="59"/>
      <c r="D54" s="59"/>
      <c r="E54" s="59"/>
      <c r="F54" s="59"/>
      <c r="G54" s="59"/>
      <c r="H54" s="60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</row>
    <row r="55" ht="15.75" customHeight="1">
      <c r="A55" s="59"/>
      <c r="B55" s="59"/>
      <c r="C55" s="59"/>
      <c r="D55" s="59"/>
      <c r="E55" s="59"/>
      <c r="F55" s="59"/>
      <c r="G55" s="59"/>
      <c r="H55" s="60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</row>
    <row r="56" ht="15.75" customHeight="1">
      <c r="A56" s="59"/>
      <c r="B56" s="59"/>
      <c r="C56" s="59"/>
      <c r="D56" s="59"/>
      <c r="E56" s="59"/>
      <c r="F56" s="59"/>
      <c r="G56" s="59"/>
      <c r="H56" s="60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</row>
    <row r="57" ht="15.75" customHeight="1">
      <c r="A57" s="59"/>
      <c r="B57" s="59"/>
      <c r="C57" s="59"/>
      <c r="D57" s="59"/>
      <c r="E57" s="59"/>
      <c r="F57" s="59"/>
      <c r="G57" s="59"/>
      <c r="H57" s="60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</row>
    <row r="58" ht="15.75" customHeight="1">
      <c r="A58" s="59"/>
      <c r="B58" s="59"/>
      <c r="C58" s="59"/>
      <c r="D58" s="59"/>
      <c r="E58" s="59"/>
      <c r="F58" s="59"/>
      <c r="G58" s="59"/>
      <c r="H58" s="60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</row>
    <row r="59" ht="15.75" customHeight="1">
      <c r="A59" s="59"/>
      <c r="B59" s="59"/>
      <c r="C59" s="59"/>
      <c r="D59" s="59"/>
      <c r="E59" s="59"/>
      <c r="F59" s="59"/>
      <c r="G59" s="59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</row>
    <row r="60" ht="15.75" customHeight="1">
      <c r="A60" s="59"/>
      <c r="B60" s="59"/>
      <c r="C60" s="59"/>
      <c r="D60" s="59"/>
      <c r="E60" s="59"/>
      <c r="F60" s="59"/>
      <c r="G60" s="59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</row>
    <row r="61" ht="15.75" customHeight="1">
      <c r="A61" s="59"/>
      <c r="B61" s="59"/>
      <c r="C61" s="59"/>
      <c r="D61" s="59"/>
      <c r="E61" s="59"/>
      <c r="F61" s="59"/>
      <c r="G61" s="59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</row>
    <row r="62" ht="15.75" customHeight="1">
      <c r="A62" s="59"/>
      <c r="B62" s="59"/>
      <c r="C62" s="59"/>
      <c r="D62" s="59"/>
      <c r="E62" s="59"/>
      <c r="F62" s="59"/>
      <c r="G62" s="59"/>
      <c r="H62" s="60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</row>
    <row r="63" ht="15.75" customHeight="1">
      <c r="A63" s="59"/>
      <c r="B63" s="59"/>
      <c r="C63" s="59"/>
      <c r="D63" s="59"/>
      <c r="E63" s="59"/>
      <c r="F63" s="59"/>
      <c r="G63" s="59"/>
      <c r="H63" s="60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</row>
    <row r="64" ht="15.75" customHeight="1">
      <c r="A64" s="59"/>
      <c r="B64" s="59"/>
      <c r="C64" s="59"/>
      <c r="D64" s="59"/>
      <c r="E64" s="59"/>
      <c r="F64" s="59"/>
      <c r="G64" s="59"/>
      <c r="H64" s="60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</row>
    <row r="65" ht="15.75" customHeight="1">
      <c r="A65" s="59"/>
      <c r="B65" s="59"/>
      <c r="C65" s="59"/>
      <c r="D65" s="59"/>
      <c r="E65" s="59"/>
      <c r="F65" s="59"/>
      <c r="G65" s="59"/>
      <c r="H65" s="60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</row>
    <row r="66" ht="15.75" customHeight="1">
      <c r="A66" s="59"/>
      <c r="B66" s="59"/>
      <c r="C66" s="59"/>
      <c r="D66" s="59"/>
      <c r="E66" s="59"/>
      <c r="F66" s="59"/>
      <c r="G66" s="59"/>
      <c r="H66" s="60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</row>
    <row r="67" ht="15.75" customHeight="1">
      <c r="A67" s="59"/>
      <c r="B67" s="59"/>
      <c r="C67" s="59"/>
      <c r="D67" s="59"/>
      <c r="E67" s="59"/>
      <c r="F67" s="59"/>
      <c r="G67" s="59"/>
      <c r="H67" s="60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</row>
    <row r="68" ht="15.75" customHeight="1">
      <c r="A68" s="59"/>
      <c r="B68" s="59"/>
      <c r="C68" s="59"/>
      <c r="D68" s="59"/>
      <c r="E68" s="59"/>
      <c r="F68" s="59"/>
      <c r="G68" s="59"/>
      <c r="H68" s="60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</row>
    <row r="69" ht="15.75" customHeight="1">
      <c r="A69" s="59"/>
      <c r="B69" s="59"/>
      <c r="C69" s="59"/>
      <c r="D69" s="59"/>
      <c r="E69" s="59"/>
      <c r="F69" s="59"/>
      <c r="G69" s="59"/>
      <c r="H69" s="60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</row>
    <row r="70" ht="15.75" customHeight="1">
      <c r="A70" s="59"/>
      <c r="B70" s="59"/>
      <c r="C70" s="59"/>
      <c r="D70" s="59"/>
      <c r="E70" s="59"/>
      <c r="F70" s="59"/>
      <c r="G70" s="59"/>
      <c r="H70" s="60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</row>
    <row r="71" ht="15.75" customHeight="1">
      <c r="A71" s="59"/>
      <c r="B71" s="59"/>
      <c r="C71" s="59"/>
      <c r="D71" s="59"/>
      <c r="E71" s="59"/>
      <c r="F71" s="59"/>
      <c r="G71" s="59"/>
      <c r="H71" s="60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</row>
    <row r="72" ht="15.75" customHeight="1">
      <c r="A72" s="59"/>
      <c r="B72" s="59"/>
      <c r="C72" s="59"/>
      <c r="D72" s="59"/>
      <c r="E72" s="59"/>
      <c r="F72" s="59"/>
      <c r="G72" s="59"/>
      <c r="H72" s="60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</row>
    <row r="73" ht="15.75" customHeight="1">
      <c r="A73" s="59"/>
      <c r="B73" s="59"/>
      <c r="C73" s="59"/>
      <c r="D73" s="59"/>
      <c r="E73" s="59"/>
      <c r="F73" s="59"/>
      <c r="G73" s="59"/>
      <c r="H73" s="60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</row>
    <row r="74" ht="15.75" customHeight="1">
      <c r="A74" s="59"/>
      <c r="B74" s="59"/>
      <c r="C74" s="59"/>
      <c r="D74" s="59"/>
      <c r="E74" s="59"/>
      <c r="F74" s="59"/>
      <c r="G74" s="59"/>
      <c r="H74" s="60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</row>
    <row r="75" ht="15.75" customHeight="1">
      <c r="A75" s="59"/>
      <c r="B75" s="59"/>
      <c r="C75" s="59"/>
      <c r="D75" s="59"/>
      <c r="E75" s="59"/>
      <c r="F75" s="59"/>
      <c r="G75" s="59"/>
      <c r="H75" s="60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</row>
    <row r="76" ht="15.75" customHeight="1">
      <c r="A76" s="59"/>
      <c r="B76" s="59"/>
      <c r="C76" s="59"/>
      <c r="D76" s="59"/>
      <c r="E76" s="59"/>
      <c r="F76" s="59"/>
      <c r="G76" s="59"/>
      <c r="H76" s="60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</row>
    <row r="77" ht="15.75" customHeight="1">
      <c r="A77" s="59"/>
      <c r="B77" s="59"/>
      <c r="C77" s="59"/>
      <c r="D77" s="59"/>
      <c r="E77" s="59"/>
      <c r="F77" s="59"/>
      <c r="G77" s="59"/>
      <c r="H77" s="60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</row>
    <row r="78" ht="15.75" customHeight="1">
      <c r="A78" s="59"/>
      <c r="B78" s="59"/>
      <c r="C78" s="59"/>
      <c r="D78" s="59"/>
      <c r="E78" s="59"/>
      <c r="F78" s="59"/>
      <c r="G78" s="59"/>
      <c r="H78" s="60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</row>
    <row r="79" ht="15.75" customHeight="1">
      <c r="A79" s="59"/>
      <c r="B79" s="59"/>
      <c r="C79" s="59"/>
      <c r="D79" s="59"/>
      <c r="E79" s="59"/>
      <c r="F79" s="59"/>
      <c r="G79" s="59"/>
      <c r="H79" s="60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</row>
    <row r="80" ht="15.75" customHeight="1">
      <c r="A80" s="59"/>
      <c r="B80" s="59"/>
      <c r="C80" s="59"/>
      <c r="D80" s="59"/>
      <c r="E80" s="59"/>
      <c r="F80" s="59"/>
      <c r="G80" s="59"/>
      <c r="H80" s="60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</row>
    <row r="81" ht="15.75" customHeight="1">
      <c r="A81" s="59"/>
      <c r="B81" s="59"/>
      <c r="C81" s="59"/>
      <c r="D81" s="59"/>
      <c r="E81" s="59"/>
      <c r="F81" s="59"/>
      <c r="G81" s="59"/>
      <c r="H81" s="60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</row>
    <row r="82" ht="15.75" customHeight="1">
      <c r="A82" s="59"/>
      <c r="B82" s="59"/>
      <c r="C82" s="59"/>
      <c r="D82" s="59"/>
      <c r="E82" s="59"/>
      <c r="F82" s="59"/>
      <c r="G82" s="59"/>
      <c r="H82" s="60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</row>
    <row r="83" ht="15.75" customHeight="1">
      <c r="A83" s="59"/>
      <c r="B83" s="59"/>
      <c r="C83" s="59"/>
      <c r="D83" s="59"/>
      <c r="E83" s="59"/>
      <c r="F83" s="59"/>
      <c r="G83" s="59"/>
      <c r="H83" s="60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</row>
    <row r="84" ht="15.75" customHeight="1">
      <c r="A84" s="59"/>
      <c r="B84" s="59"/>
      <c r="C84" s="59"/>
      <c r="D84" s="59"/>
      <c r="E84" s="59"/>
      <c r="F84" s="59"/>
      <c r="G84" s="59"/>
      <c r="H84" s="60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</row>
    <row r="85" ht="15.75" customHeight="1">
      <c r="A85" s="59"/>
      <c r="B85" s="59"/>
      <c r="C85" s="59"/>
      <c r="D85" s="59"/>
      <c r="E85" s="59"/>
      <c r="F85" s="59"/>
      <c r="G85" s="59"/>
      <c r="H85" s="60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</row>
    <row r="86" ht="15.75" customHeight="1">
      <c r="A86" s="59"/>
      <c r="B86" s="59"/>
      <c r="C86" s="59"/>
      <c r="D86" s="59"/>
      <c r="E86" s="59"/>
      <c r="F86" s="59"/>
      <c r="G86" s="59"/>
      <c r="H86" s="60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</row>
    <row r="87" ht="15.75" customHeight="1">
      <c r="A87" s="59"/>
      <c r="B87" s="59"/>
      <c r="C87" s="59"/>
      <c r="D87" s="59"/>
      <c r="E87" s="59"/>
      <c r="F87" s="59"/>
      <c r="G87" s="59"/>
      <c r="H87" s="60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</row>
    <row r="88" ht="15.75" customHeight="1">
      <c r="A88" s="59"/>
      <c r="B88" s="59"/>
      <c r="C88" s="59"/>
      <c r="D88" s="59"/>
      <c r="E88" s="59"/>
      <c r="F88" s="59"/>
      <c r="G88" s="59"/>
      <c r="H88" s="60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</row>
    <row r="89" ht="15.75" customHeight="1">
      <c r="A89" s="59"/>
      <c r="B89" s="59"/>
      <c r="C89" s="59"/>
      <c r="D89" s="59"/>
      <c r="E89" s="59"/>
      <c r="F89" s="59"/>
      <c r="G89" s="59"/>
      <c r="H89" s="60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</row>
    <row r="90" ht="15.75" customHeight="1">
      <c r="A90" s="59"/>
      <c r="B90" s="59"/>
      <c r="C90" s="59"/>
      <c r="D90" s="59"/>
      <c r="E90" s="59"/>
      <c r="F90" s="59"/>
      <c r="G90" s="59"/>
      <c r="H90" s="60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</row>
    <row r="91" ht="15.75" customHeight="1">
      <c r="A91" s="59"/>
      <c r="B91" s="59"/>
      <c r="C91" s="59"/>
      <c r="D91" s="59"/>
      <c r="E91" s="59"/>
      <c r="F91" s="59"/>
      <c r="G91" s="59"/>
      <c r="H91" s="60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</row>
    <row r="92" ht="15.75" customHeight="1">
      <c r="A92" s="59"/>
      <c r="B92" s="59"/>
      <c r="C92" s="59"/>
      <c r="D92" s="59"/>
      <c r="E92" s="59"/>
      <c r="F92" s="59"/>
      <c r="G92" s="59"/>
      <c r="H92" s="60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</row>
    <row r="93" ht="15.75" customHeight="1">
      <c r="A93" s="59"/>
      <c r="B93" s="59"/>
      <c r="C93" s="59"/>
      <c r="D93" s="59"/>
      <c r="E93" s="59"/>
      <c r="F93" s="59"/>
      <c r="G93" s="59"/>
      <c r="H93" s="60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</row>
    <row r="94" ht="15.75" customHeight="1">
      <c r="A94" s="59"/>
      <c r="B94" s="59"/>
      <c r="C94" s="59"/>
      <c r="D94" s="59"/>
      <c r="E94" s="59"/>
      <c r="F94" s="59"/>
      <c r="G94" s="59"/>
      <c r="H94" s="60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</row>
    <row r="95" ht="15.75" customHeight="1">
      <c r="A95" s="59"/>
      <c r="B95" s="59"/>
      <c r="C95" s="59"/>
      <c r="D95" s="59"/>
      <c r="E95" s="59"/>
      <c r="F95" s="59"/>
      <c r="G95" s="59"/>
      <c r="H95" s="60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</row>
    <row r="96" ht="15.75" customHeight="1">
      <c r="A96" s="59"/>
      <c r="B96" s="59"/>
      <c r="C96" s="59"/>
      <c r="D96" s="59"/>
      <c r="E96" s="59"/>
      <c r="F96" s="59"/>
      <c r="G96" s="59"/>
      <c r="H96" s="60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</row>
    <row r="97" ht="15.75" customHeight="1">
      <c r="A97" s="59"/>
      <c r="B97" s="59"/>
      <c r="C97" s="59"/>
      <c r="D97" s="59"/>
      <c r="E97" s="59"/>
      <c r="F97" s="59"/>
      <c r="G97" s="59"/>
      <c r="H97" s="60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</row>
    <row r="98" ht="15.75" customHeight="1">
      <c r="A98" s="59"/>
      <c r="B98" s="59"/>
      <c r="C98" s="59"/>
      <c r="D98" s="59"/>
      <c r="E98" s="59"/>
      <c r="F98" s="59"/>
      <c r="G98" s="59"/>
      <c r="H98" s="60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</row>
    <row r="99" ht="15.75" customHeight="1">
      <c r="A99" s="59"/>
      <c r="B99" s="59"/>
      <c r="C99" s="59"/>
      <c r="D99" s="59"/>
      <c r="E99" s="59"/>
      <c r="F99" s="59"/>
      <c r="G99" s="59"/>
      <c r="H99" s="60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60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60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60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60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60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60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60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60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60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60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60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60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60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60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60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60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60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60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60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60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60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60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60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60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60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60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60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60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60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60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60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60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60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60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60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60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60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60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60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60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60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60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60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60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60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60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60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60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60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60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60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60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60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60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60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60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60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60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60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60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60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60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60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60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60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60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60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60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60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60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60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60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60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60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60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60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60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60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60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60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60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60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60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60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60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60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60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60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60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60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60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60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60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60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60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60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60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60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60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60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60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60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60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60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60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60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60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60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60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60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60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60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60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60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60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60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60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60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60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60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60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60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60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60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4.5"/>
    <col customWidth="1" min="2" max="2" width="39.75"/>
    <col customWidth="1" min="3" max="3" width="54.88"/>
    <col customWidth="1" min="4" max="4" width="46.88"/>
    <col customWidth="1" min="5" max="5" width="37.38"/>
    <col customWidth="1" min="6" max="6" width="20.38"/>
    <col customWidth="1" min="7" max="7" width="34.25"/>
    <col customWidth="1" min="8" max="8" width="19.75"/>
    <col customWidth="1" min="9" max="9" width="33.5"/>
    <col customWidth="1" min="10" max="10" width="48.88"/>
    <col customWidth="1" min="12" max="12" width="33.5"/>
    <col customWidth="1" min="13" max="13" width="23.13"/>
  </cols>
  <sheetData>
    <row r="1" ht="15.75" customHeight="1">
      <c r="A1" s="96" t="s">
        <v>72</v>
      </c>
      <c r="B1" s="96" t="s">
        <v>87</v>
      </c>
      <c r="C1" s="96" t="s">
        <v>88</v>
      </c>
      <c r="D1" s="96" t="s">
        <v>89</v>
      </c>
      <c r="E1" s="96" t="s">
        <v>90</v>
      </c>
      <c r="F1" s="96" t="s">
        <v>91</v>
      </c>
      <c r="G1" s="96" t="s">
        <v>92</v>
      </c>
      <c r="H1" s="96" t="s">
        <v>93</v>
      </c>
      <c r="I1" s="96" t="s">
        <v>94</v>
      </c>
      <c r="J1" s="97" t="s">
        <v>7</v>
      </c>
      <c r="K1" s="97" t="s">
        <v>95</v>
      </c>
      <c r="L1" s="97" t="s">
        <v>96</v>
      </c>
      <c r="M1" s="96" t="s">
        <v>97</v>
      </c>
    </row>
    <row r="2" ht="15.75" customHeight="1">
      <c r="A2" s="98" t="s">
        <v>98</v>
      </c>
      <c r="B2" s="96" t="s">
        <v>99</v>
      </c>
      <c r="C2" s="96" t="s">
        <v>100</v>
      </c>
      <c r="D2" s="96" t="s">
        <v>101</v>
      </c>
      <c r="E2" s="96" t="s">
        <v>102</v>
      </c>
      <c r="F2" s="96" t="s">
        <v>103</v>
      </c>
      <c r="G2" s="96" t="s">
        <v>104</v>
      </c>
      <c r="H2" s="96" t="s">
        <v>105</v>
      </c>
      <c r="I2" s="96" t="s">
        <v>106</v>
      </c>
      <c r="J2" s="97" t="s">
        <v>107</v>
      </c>
      <c r="K2" s="97" t="s">
        <v>108</v>
      </c>
      <c r="L2" s="97" t="s">
        <v>109</v>
      </c>
      <c r="M2" s="96"/>
    </row>
    <row r="3" ht="15.75" customHeight="1">
      <c r="A3" s="96"/>
      <c r="B3" s="96"/>
      <c r="C3" s="96"/>
      <c r="D3" s="96"/>
      <c r="E3" s="96"/>
      <c r="F3" s="96"/>
      <c r="G3" s="96"/>
      <c r="H3" s="96"/>
      <c r="I3" s="96"/>
      <c r="M3" s="96"/>
    </row>
    <row r="4" ht="15.75" customHeight="1">
      <c r="A4" s="96"/>
      <c r="B4" s="96"/>
      <c r="C4" s="96"/>
      <c r="D4" s="96"/>
      <c r="E4" s="96"/>
      <c r="F4" s="96"/>
      <c r="G4" s="96"/>
      <c r="H4" s="96"/>
      <c r="I4" s="96"/>
      <c r="M4" s="96"/>
    </row>
    <row r="5" ht="15.75" customHeight="1">
      <c r="A5" s="96"/>
      <c r="B5" s="96"/>
      <c r="C5" s="96"/>
      <c r="D5" s="96"/>
      <c r="E5" s="96"/>
      <c r="F5" s="96"/>
      <c r="G5" s="96"/>
      <c r="H5" s="96"/>
      <c r="I5" s="96"/>
      <c r="M5" s="96"/>
    </row>
    <row r="6" ht="15.75" customHeight="1">
      <c r="A6" s="96"/>
      <c r="B6" s="96"/>
      <c r="C6" s="96"/>
      <c r="D6" s="96"/>
      <c r="E6" s="96"/>
      <c r="F6" s="96"/>
      <c r="G6" s="96"/>
      <c r="H6" s="96"/>
      <c r="I6" s="96"/>
      <c r="M6" s="96"/>
    </row>
    <row r="7" ht="15.75" customHeight="1">
      <c r="A7" s="96"/>
      <c r="B7" s="96"/>
      <c r="C7" s="96"/>
      <c r="D7" s="96"/>
      <c r="E7" s="96"/>
      <c r="F7" s="96"/>
      <c r="G7" s="96"/>
      <c r="H7" s="96"/>
      <c r="I7" s="96"/>
      <c r="M7" s="96"/>
    </row>
    <row r="8" ht="15.75" customHeight="1">
      <c r="A8" s="96"/>
      <c r="B8" s="96"/>
      <c r="C8" s="96"/>
      <c r="D8" s="96"/>
      <c r="E8" s="96"/>
      <c r="F8" s="96"/>
      <c r="G8" s="96"/>
      <c r="H8" s="96"/>
      <c r="I8" s="96"/>
      <c r="M8" s="96"/>
    </row>
    <row r="9" ht="15.75" customHeight="1">
      <c r="A9" s="96"/>
      <c r="B9" s="96"/>
      <c r="C9" s="96"/>
      <c r="D9" s="96"/>
      <c r="E9" s="96"/>
      <c r="F9" s="96"/>
      <c r="G9" s="96"/>
      <c r="H9" s="96"/>
      <c r="I9" s="96"/>
      <c r="M9" s="96"/>
    </row>
    <row r="10" ht="15.75" customHeight="1">
      <c r="A10" s="96"/>
      <c r="B10" s="96"/>
      <c r="C10" s="96"/>
      <c r="D10" s="96"/>
      <c r="E10" s="96"/>
      <c r="F10" s="96"/>
      <c r="G10" s="96"/>
      <c r="H10" s="96"/>
      <c r="I10" s="96"/>
      <c r="M10" s="96"/>
    </row>
    <row r="11" ht="15.75" customHeight="1">
      <c r="A11" s="96"/>
      <c r="B11" s="96"/>
      <c r="C11" s="96"/>
      <c r="D11" s="96"/>
      <c r="E11" s="96"/>
      <c r="F11" s="96"/>
      <c r="G11" s="96"/>
      <c r="H11" s="96"/>
      <c r="I11" s="96"/>
      <c r="M11" s="96"/>
    </row>
    <row r="12" ht="15.75" customHeight="1">
      <c r="A12" s="96"/>
      <c r="B12" s="96"/>
      <c r="C12" s="96"/>
      <c r="D12" s="96"/>
      <c r="E12" s="96"/>
      <c r="F12" s="96"/>
      <c r="G12" s="96"/>
      <c r="H12" s="96"/>
      <c r="I12" s="96"/>
      <c r="M12" s="96"/>
    </row>
    <row r="13" ht="15.75" customHeight="1">
      <c r="A13" s="96"/>
      <c r="B13" s="96"/>
      <c r="C13" s="96"/>
      <c r="D13" s="96"/>
      <c r="E13" s="96"/>
      <c r="F13" s="96"/>
      <c r="G13" s="96"/>
      <c r="H13" s="96"/>
      <c r="I13" s="96"/>
      <c r="M13" s="96"/>
    </row>
    <row r="14" ht="15.75" customHeight="1">
      <c r="A14" s="96"/>
      <c r="B14" s="96"/>
      <c r="C14" s="96"/>
      <c r="D14" s="96"/>
      <c r="E14" s="96"/>
      <c r="F14" s="96"/>
      <c r="G14" s="96"/>
      <c r="H14" s="96"/>
      <c r="I14" s="96"/>
      <c r="M14" s="96"/>
    </row>
    <row r="15" ht="15.75" customHeight="1">
      <c r="A15" s="96"/>
      <c r="B15" s="96"/>
      <c r="C15" s="96"/>
      <c r="D15" s="96"/>
      <c r="E15" s="96"/>
      <c r="F15" s="96"/>
      <c r="G15" s="96"/>
      <c r="H15" s="96"/>
      <c r="I15" s="96"/>
      <c r="M15" s="96"/>
    </row>
    <row r="16" ht="15.75" customHeight="1">
      <c r="A16" s="96"/>
      <c r="B16" s="96"/>
      <c r="C16" s="96"/>
      <c r="D16" s="96"/>
      <c r="E16" s="96"/>
      <c r="F16" s="96"/>
      <c r="G16" s="96"/>
      <c r="H16" s="96"/>
      <c r="I16" s="96"/>
      <c r="M16" s="96"/>
    </row>
    <row r="17" ht="15.75" customHeight="1">
      <c r="A17" s="96"/>
      <c r="B17" s="96"/>
      <c r="C17" s="96"/>
      <c r="D17" s="96"/>
      <c r="E17" s="96"/>
      <c r="F17" s="96"/>
      <c r="G17" s="96"/>
      <c r="H17" s="96"/>
      <c r="I17" s="96"/>
      <c r="M17" s="96"/>
    </row>
    <row r="18" ht="15.75" customHeight="1">
      <c r="A18" s="96"/>
      <c r="B18" s="96"/>
      <c r="C18" s="96"/>
      <c r="D18" s="96"/>
      <c r="E18" s="96"/>
      <c r="F18" s="96"/>
      <c r="G18" s="96"/>
      <c r="H18" s="96"/>
      <c r="I18" s="96"/>
      <c r="M18" s="96"/>
    </row>
    <row r="19" ht="15.75" customHeight="1">
      <c r="A19" s="96"/>
      <c r="B19" s="96"/>
      <c r="C19" s="96"/>
      <c r="D19" s="96"/>
      <c r="E19" s="96"/>
      <c r="F19" s="96"/>
      <c r="G19" s="96"/>
      <c r="H19" s="96"/>
      <c r="I19" s="96"/>
      <c r="M19" s="96"/>
    </row>
    <row r="20" ht="15.75" customHeight="1">
      <c r="A20" s="96"/>
      <c r="B20" s="96"/>
      <c r="C20" s="96"/>
      <c r="D20" s="96"/>
      <c r="E20" s="96"/>
      <c r="F20" s="96"/>
      <c r="G20" s="96"/>
      <c r="H20" s="96"/>
      <c r="I20" s="96"/>
      <c r="M20" s="96"/>
    </row>
    <row r="21" ht="15.75" customHeight="1">
      <c r="A21" s="96"/>
      <c r="B21" s="96"/>
      <c r="C21" s="96"/>
      <c r="D21" s="96"/>
      <c r="E21" s="96"/>
      <c r="F21" s="96"/>
      <c r="G21" s="96"/>
      <c r="H21" s="96"/>
      <c r="I21" s="96"/>
      <c r="M21" s="96"/>
    </row>
    <row r="22" ht="15.75" customHeight="1">
      <c r="A22" s="96"/>
      <c r="B22" s="96"/>
      <c r="C22" s="96"/>
      <c r="D22" s="96"/>
      <c r="E22" s="96"/>
      <c r="F22" s="96"/>
      <c r="G22" s="96"/>
      <c r="H22" s="96"/>
      <c r="I22" s="96"/>
      <c r="M22" s="96"/>
    </row>
    <row r="23" ht="15.75" customHeight="1">
      <c r="A23" s="96"/>
      <c r="B23" s="96"/>
      <c r="C23" s="96"/>
      <c r="D23" s="96"/>
      <c r="E23" s="96"/>
      <c r="F23" s="96"/>
      <c r="G23" s="96"/>
      <c r="H23" s="96"/>
      <c r="I23" s="96"/>
      <c r="M23" s="96"/>
    </row>
    <row r="24" ht="15.75" customHeight="1">
      <c r="A24" s="96"/>
      <c r="B24" s="96"/>
      <c r="C24" s="96"/>
      <c r="D24" s="96"/>
      <c r="E24" s="96"/>
      <c r="F24" s="96"/>
      <c r="G24" s="96"/>
      <c r="H24" s="96"/>
      <c r="I24" s="96"/>
      <c r="M24" s="96"/>
    </row>
    <row r="25" ht="15.75" customHeight="1">
      <c r="A25" s="96"/>
      <c r="B25" s="96"/>
      <c r="C25" s="96"/>
      <c r="D25" s="96"/>
      <c r="E25" s="96"/>
      <c r="F25" s="96"/>
      <c r="G25" s="96"/>
      <c r="H25" s="96"/>
      <c r="I25" s="96"/>
      <c r="M25" s="96"/>
    </row>
    <row r="26" ht="15.75" customHeight="1">
      <c r="A26" s="96"/>
      <c r="B26" s="96"/>
      <c r="C26" s="96"/>
      <c r="D26" s="96"/>
      <c r="E26" s="96"/>
      <c r="F26" s="96"/>
      <c r="G26" s="96"/>
      <c r="H26" s="96"/>
      <c r="I26" s="96"/>
      <c r="M26" s="96"/>
    </row>
    <row r="27" ht="15.75" customHeight="1">
      <c r="A27" s="96"/>
      <c r="B27" s="96"/>
      <c r="C27" s="96"/>
      <c r="D27" s="96"/>
      <c r="E27" s="96"/>
      <c r="F27" s="96"/>
      <c r="G27" s="96"/>
      <c r="H27" s="96"/>
      <c r="I27" s="96"/>
      <c r="M27" s="96"/>
    </row>
    <row r="28" ht="15.75" customHeight="1">
      <c r="A28" s="96"/>
      <c r="B28" s="96"/>
      <c r="C28" s="96"/>
      <c r="D28" s="96"/>
      <c r="E28" s="96"/>
      <c r="F28" s="96"/>
      <c r="G28" s="96"/>
      <c r="H28" s="96"/>
      <c r="I28" s="96"/>
      <c r="M28" s="96"/>
    </row>
    <row r="29" ht="15.75" customHeight="1">
      <c r="A29" s="96"/>
      <c r="B29" s="96"/>
      <c r="C29" s="96"/>
      <c r="D29" s="96"/>
      <c r="E29" s="96"/>
      <c r="F29" s="96"/>
      <c r="G29" s="96"/>
      <c r="H29" s="96"/>
      <c r="I29" s="96"/>
      <c r="M29" s="96"/>
    </row>
    <row r="30" ht="15.75" customHeight="1">
      <c r="A30" s="96"/>
      <c r="B30" s="96"/>
      <c r="C30" s="96"/>
      <c r="D30" s="96"/>
      <c r="E30" s="96"/>
      <c r="F30" s="96"/>
      <c r="G30" s="96"/>
      <c r="H30" s="96"/>
      <c r="I30" s="96"/>
      <c r="M30" s="96"/>
    </row>
    <row r="31" ht="15.75" customHeight="1">
      <c r="A31" s="96"/>
      <c r="B31" s="96"/>
      <c r="C31" s="96"/>
      <c r="D31" s="96"/>
      <c r="E31" s="96"/>
      <c r="F31" s="96"/>
      <c r="G31" s="96"/>
      <c r="H31" s="96"/>
      <c r="I31" s="96"/>
      <c r="M31" s="96"/>
    </row>
    <row r="32" ht="15.75" customHeight="1">
      <c r="A32" s="96"/>
      <c r="B32" s="96"/>
      <c r="C32" s="96"/>
      <c r="D32" s="96"/>
      <c r="E32" s="96"/>
      <c r="F32" s="96"/>
      <c r="G32" s="96"/>
      <c r="H32" s="96"/>
      <c r="I32" s="96"/>
      <c r="M32" s="96"/>
    </row>
    <row r="33" ht="15.75" customHeight="1">
      <c r="A33" s="96"/>
      <c r="B33" s="96"/>
      <c r="C33" s="96"/>
      <c r="D33" s="96"/>
      <c r="E33" s="96"/>
      <c r="F33" s="96"/>
      <c r="G33" s="96"/>
      <c r="H33" s="96"/>
      <c r="I33" s="96"/>
      <c r="M33" s="96"/>
    </row>
    <row r="34" ht="15.75" customHeight="1">
      <c r="A34" s="96"/>
      <c r="B34" s="96"/>
      <c r="C34" s="96"/>
      <c r="D34" s="96"/>
      <c r="E34" s="96"/>
      <c r="F34" s="96"/>
      <c r="G34" s="96"/>
      <c r="H34" s="96"/>
      <c r="I34" s="96"/>
      <c r="M34" s="96"/>
    </row>
    <row r="35" ht="15.75" customHeight="1">
      <c r="A35" s="96"/>
      <c r="B35" s="96"/>
      <c r="C35" s="96"/>
      <c r="D35" s="96"/>
      <c r="E35" s="96"/>
      <c r="F35" s="96"/>
      <c r="G35" s="96"/>
      <c r="H35" s="96"/>
      <c r="I35" s="96"/>
      <c r="M35" s="96"/>
    </row>
    <row r="36" ht="15.75" customHeight="1">
      <c r="A36" s="96"/>
      <c r="B36" s="96"/>
      <c r="C36" s="96"/>
      <c r="D36" s="96"/>
      <c r="E36" s="96"/>
      <c r="F36" s="96"/>
      <c r="G36" s="96"/>
      <c r="H36" s="96"/>
      <c r="I36" s="96"/>
      <c r="M36" s="96"/>
    </row>
    <row r="37" ht="15.75" customHeight="1">
      <c r="A37" s="96"/>
      <c r="B37" s="96"/>
      <c r="C37" s="96"/>
      <c r="D37" s="96"/>
      <c r="E37" s="96"/>
      <c r="F37" s="96"/>
      <c r="G37" s="96"/>
      <c r="H37" s="96"/>
      <c r="I37" s="96"/>
      <c r="M37" s="96"/>
    </row>
    <row r="38" ht="15.75" customHeight="1">
      <c r="A38" s="96"/>
      <c r="B38" s="96"/>
      <c r="C38" s="96"/>
      <c r="D38" s="96"/>
      <c r="E38" s="96"/>
      <c r="F38" s="96"/>
      <c r="G38" s="96"/>
      <c r="H38" s="96"/>
      <c r="I38" s="96"/>
      <c r="M38" s="96"/>
    </row>
    <row r="39" ht="15.75" customHeight="1">
      <c r="A39" s="96"/>
      <c r="B39" s="96"/>
      <c r="C39" s="96"/>
      <c r="D39" s="96"/>
      <c r="E39" s="96"/>
      <c r="F39" s="96"/>
      <c r="G39" s="96"/>
      <c r="H39" s="96"/>
      <c r="I39" s="96"/>
      <c r="M39" s="96"/>
    </row>
    <row r="40" ht="15.75" customHeight="1">
      <c r="A40" s="96"/>
      <c r="B40" s="96"/>
      <c r="C40" s="96"/>
      <c r="D40" s="96"/>
      <c r="E40" s="96"/>
      <c r="F40" s="96"/>
      <c r="G40" s="96"/>
      <c r="H40" s="96"/>
      <c r="I40" s="96"/>
      <c r="M40" s="96"/>
    </row>
    <row r="41" ht="15.75" customHeight="1">
      <c r="A41" s="96"/>
      <c r="B41" s="96"/>
      <c r="C41" s="96"/>
      <c r="D41" s="96"/>
      <c r="E41" s="96"/>
      <c r="F41" s="96"/>
      <c r="G41" s="96"/>
      <c r="H41" s="96"/>
      <c r="I41" s="96"/>
      <c r="M41" s="96"/>
    </row>
    <row r="42" ht="15.75" customHeight="1">
      <c r="A42" s="96"/>
      <c r="B42" s="96"/>
      <c r="C42" s="96"/>
      <c r="D42" s="96"/>
      <c r="E42" s="96"/>
      <c r="F42" s="96"/>
      <c r="G42" s="96"/>
      <c r="H42" s="96"/>
      <c r="I42" s="96"/>
      <c r="M42" s="96"/>
    </row>
    <row r="43" ht="15.75" customHeight="1">
      <c r="A43" s="96"/>
      <c r="B43" s="96"/>
      <c r="C43" s="96"/>
      <c r="D43" s="96"/>
      <c r="E43" s="96"/>
      <c r="F43" s="96"/>
      <c r="G43" s="96"/>
      <c r="H43" s="96"/>
      <c r="I43" s="96"/>
      <c r="M43" s="96"/>
    </row>
    <row r="44" ht="15.75" customHeight="1">
      <c r="A44" s="96"/>
      <c r="B44" s="96"/>
      <c r="C44" s="96"/>
      <c r="D44" s="96"/>
      <c r="E44" s="96"/>
      <c r="F44" s="96"/>
      <c r="G44" s="96"/>
      <c r="H44" s="96"/>
      <c r="I44" s="96"/>
      <c r="M44" s="96"/>
    </row>
    <row r="45" ht="15.75" customHeight="1">
      <c r="A45" s="96"/>
      <c r="B45" s="96"/>
      <c r="C45" s="96"/>
      <c r="D45" s="96"/>
      <c r="E45" s="96"/>
      <c r="F45" s="96"/>
      <c r="G45" s="96"/>
      <c r="H45" s="96"/>
      <c r="I45" s="96"/>
      <c r="M45" s="96"/>
    </row>
    <row r="46" ht="15.75" customHeight="1">
      <c r="A46" s="96"/>
      <c r="B46" s="96"/>
      <c r="C46" s="96"/>
      <c r="D46" s="96"/>
      <c r="E46" s="96"/>
      <c r="F46" s="96"/>
      <c r="G46" s="96"/>
      <c r="H46" s="96"/>
      <c r="I46" s="96"/>
      <c r="M46" s="96"/>
    </row>
    <row r="47" ht="15.75" customHeight="1">
      <c r="A47" s="96"/>
      <c r="B47" s="96"/>
      <c r="C47" s="96"/>
      <c r="D47" s="96"/>
      <c r="E47" s="96"/>
      <c r="F47" s="96"/>
      <c r="G47" s="96"/>
      <c r="H47" s="96"/>
      <c r="I47" s="96"/>
      <c r="M47" s="96"/>
    </row>
    <row r="48" ht="15.75" customHeight="1">
      <c r="A48" s="96"/>
      <c r="B48" s="96"/>
      <c r="C48" s="96"/>
      <c r="D48" s="96"/>
      <c r="E48" s="96"/>
      <c r="F48" s="96"/>
      <c r="G48" s="96"/>
      <c r="H48" s="96"/>
      <c r="I48" s="96"/>
      <c r="M48" s="96"/>
    </row>
    <row r="49" ht="15.75" customHeight="1">
      <c r="A49" s="96"/>
      <c r="B49" s="96"/>
      <c r="C49" s="96"/>
      <c r="D49" s="96"/>
      <c r="E49" s="96"/>
      <c r="F49" s="96"/>
      <c r="G49" s="96"/>
      <c r="H49" s="96"/>
      <c r="I49" s="96"/>
      <c r="M49" s="96"/>
    </row>
    <row r="50" ht="15.75" customHeight="1">
      <c r="A50" s="96"/>
      <c r="B50" s="96"/>
      <c r="C50" s="96"/>
      <c r="D50" s="96"/>
      <c r="E50" s="96"/>
      <c r="F50" s="96"/>
      <c r="G50" s="96"/>
      <c r="H50" s="96"/>
      <c r="I50" s="96"/>
      <c r="M50" s="96"/>
    </row>
    <row r="51" ht="15.75" customHeight="1">
      <c r="A51" s="96"/>
      <c r="B51" s="96"/>
      <c r="C51" s="96"/>
      <c r="D51" s="96"/>
      <c r="E51" s="96"/>
      <c r="F51" s="96"/>
      <c r="G51" s="96"/>
      <c r="H51" s="96"/>
      <c r="I51" s="96"/>
      <c r="M51" s="96"/>
    </row>
    <row r="52" ht="15.75" customHeight="1">
      <c r="A52" s="96"/>
      <c r="B52" s="96"/>
      <c r="C52" s="96"/>
      <c r="D52" s="96"/>
      <c r="E52" s="96"/>
      <c r="F52" s="96"/>
      <c r="G52" s="96"/>
      <c r="H52" s="96"/>
      <c r="I52" s="96"/>
      <c r="M52" s="96"/>
    </row>
    <row r="53" ht="15.75" customHeight="1">
      <c r="A53" s="96"/>
      <c r="B53" s="96"/>
      <c r="C53" s="96"/>
      <c r="D53" s="96"/>
      <c r="E53" s="96"/>
      <c r="F53" s="96"/>
      <c r="G53" s="96"/>
      <c r="H53" s="96"/>
      <c r="I53" s="96"/>
      <c r="M53" s="96"/>
    </row>
    <row r="54" ht="15.75" customHeight="1">
      <c r="A54" s="96"/>
      <c r="B54" s="96"/>
      <c r="C54" s="96"/>
      <c r="D54" s="96"/>
      <c r="E54" s="96"/>
      <c r="F54" s="96"/>
      <c r="G54" s="96"/>
      <c r="H54" s="96"/>
      <c r="I54" s="96"/>
      <c r="M54" s="96"/>
    </row>
    <row r="55" ht="15.75" customHeight="1">
      <c r="A55" s="96"/>
      <c r="B55" s="96"/>
      <c r="C55" s="96"/>
      <c r="D55" s="96"/>
      <c r="E55" s="96"/>
      <c r="F55" s="96"/>
      <c r="G55" s="96"/>
      <c r="H55" s="96"/>
      <c r="I55" s="96"/>
      <c r="M55" s="96"/>
    </row>
    <row r="56" ht="15.75" customHeight="1">
      <c r="A56" s="96"/>
      <c r="B56" s="96"/>
      <c r="C56" s="96"/>
      <c r="D56" s="96"/>
      <c r="E56" s="96"/>
      <c r="F56" s="96"/>
      <c r="G56" s="96"/>
      <c r="H56" s="96"/>
      <c r="I56" s="96"/>
      <c r="M56" s="96"/>
    </row>
    <row r="57" ht="15.75" customHeight="1">
      <c r="A57" s="96"/>
      <c r="B57" s="96"/>
      <c r="C57" s="96"/>
      <c r="D57" s="96"/>
      <c r="E57" s="96"/>
      <c r="F57" s="96"/>
      <c r="G57" s="96"/>
      <c r="H57" s="96"/>
      <c r="I57" s="96"/>
      <c r="M57" s="96"/>
    </row>
    <row r="58" ht="15.75" customHeight="1">
      <c r="A58" s="96"/>
      <c r="B58" s="96"/>
      <c r="C58" s="96"/>
      <c r="D58" s="96"/>
      <c r="E58" s="96"/>
      <c r="F58" s="96"/>
      <c r="G58" s="96"/>
      <c r="H58" s="96"/>
      <c r="I58" s="96"/>
      <c r="M58" s="96"/>
    </row>
    <row r="59" ht="15.75" customHeight="1">
      <c r="A59" s="96"/>
      <c r="B59" s="96"/>
      <c r="C59" s="96"/>
      <c r="D59" s="96"/>
      <c r="E59" s="96"/>
      <c r="F59" s="96"/>
      <c r="G59" s="96"/>
      <c r="H59" s="96"/>
      <c r="I59" s="96"/>
      <c r="M59" s="96"/>
    </row>
    <row r="60" ht="15.75" customHeight="1">
      <c r="A60" s="96"/>
      <c r="B60" s="96"/>
      <c r="C60" s="96"/>
      <c r="D60" s="96"/>
      <c r="E60" s="96"/>
      <c r="F60" s="96"/>
      <c r="G60" s="96"/>
      <c r="H60" s="96"/>
      <c r="I60" s="96"/>
      <c r="M60" s="96"/>
    </row>
    <row r="61" ht="15.75" customHeight="1">
      <c r="A61" s="96"/>
      <c r="B61" s="96"/>
      <c r="C61" s="96"/>
      <c r="D61" s="96"/>
      <c r="E61" s="96"/>
      <c r="F61" s="96"/>
      <c r="G61" s="96"/>
      <c r="H61" s="96"/>
      <c r="I61" s="96"/>
      <c r="M61" s="96"/>
    </row>
    <row r="62" ht="15.75" customHeight="1">
      <c r="A62" s="96"/>
      <c r="B62" s="96"/>
      <c r="C62" s="96"/>
      <c r="D62" s="96"/>
      <c r="E62" s="96"/>
      <c r="F62" s="96"/>
      <c r="G62" s="96"/>
      <c r="H62" s="96"/>
      <c r="I62" s="96"/>
      <c r="M62" s="96"/>
    </row>
    <row r="63" ht="15.75" customHeight="1">
      <c r="A63" s="96"/>
      <c r="B63" s="96"/>
      <c r="C63" s="96"/>
      <c r="D63" s="96"/>
      <c r="E63" s="96"/>
      <c r="F63" s="96"/>
      <c r="G63" s="96"/>
      <c r="H63" s="96"/>
      <c r="I63" s="96"/>
      <c r="M63" s="96"/>
    </row>
    <row r="64" ht="15.75" customHeight="1">
      <c r="A64" s="96"/>
      <c r="B64" s="96"/>
      <c r="C64" s="96"/>
      <c r="D64" s="96"/>
      <c r="E64" s="96"/>
      <c r="F64" s="96"/>
      <c r="G64" s="96"/>
      <c r="H64" s="96"/>
      <c r="I64" s="96"/>
      <c r="M64" s="96"/>
    </row>
    <row r="65" ht="15.75" customHeight="1">
      <c r="A65" s="96"/>
      <c r="B65" s="96"/>
      <c r="C65" s="96"/>
      <c r="D65" s="96"/>
      <c r="E65" s="96"/>
      <c r="F65" s="96"/>
      <c r="G65" s="96"/>
      <c r="H65" s="96"/>
      <c r="I65" s="96"/>
      <c r="M65" s="96"/>
    </row>
    <row r="66" ht="15.75" customHeight="1">
      <c r="A66" s="96"/>
      <c r="B66" s="96"/>
      <c r="C66" s="96"/>
      <c r="D66" s="96"/>
      <c r="E66" s="96"/>
      <c r="F66" s="96"/>
      <c r="G66" s="96"/>
      <c r="H66" s="96"/>
      <c r="I66" s="96"/>
      <c r="M66" s="96"/>
    </row>
    <row r="67" ht="15.75" customHeight="1">
      <c r="A67" s="96"/>
      <c r="B67" s="96"/>
      <c r="C67" s="96"/>
      <c r="D67" s="96"/>
      <c r="E67" s="96"/>
      <c r="F67" s="96"/>
      <c r="G67" s="96"/>
      <c r="H67" s="96"/>
      <c r="I67" s="96"/>
      <c r="M67" s="96"/>
    </row>
    <row r="68" ht="15.75" customHeight="1">
      <c r="A68" s="96"/>
      <c r="B68" s="96"/>
      <c r="C68" s="96"/>
      <c r="D68" s="96"/>
      <c r="E68" s="96"/>
      <c r="F68" s="96"/>
      <c r="G68" s="96"/>
      <c r="H68" s="96"/>
      <c r="I68" s="96"/>
      <c r="M68" s="96"/>
    </row>
    <row r="69" ht="15.75" customHeight="1">
      <c r="A69" s="96"/>
      <c r="B69" s="96"/>
      <c r="C69" s="96"/>
      <c r="D69" s="96"/>
      <c r="E69" s="96"/>
      <c r="F69" s="96"/>
      <c r="G69" s="96"/>
      <c r="H69" s="96"/>
      <c r="I69" s="96"/>
      <c r="M69" s="96"/>
    </row>
    <row r="70" ht="15.75" customHeight="1">
      <c r="A70" s="96"/>
      <c r="B70" s="96"/>
      <c r="C70" s="96"/>
      <c r="D70" s="96"/>
      <c r="E70" s="96"/>
      <c r="F70" s="96"/>
      <c r="G70" s="96"/>
      <c r="H70" s="96"/>
      <c r="I70" s="96"/>
      <c r="M70" s="96"/>
    </row>
    <row r="71" ht="15.75" customHeight="1">
      <c r="A71" s="96"/>
      <c r="B71" s="96"/>
      <c r="C71" s="96"/>
      <c r="D71" s="96"/>
      <c r="E71" s="96"/>
      <c r="F71" s="96"/>
      <c r="G71" s="96"/>
      <c r="H71" s="96"/>
      <c r="I71" s="96"/>
      <c r="M71" s="96"/>
    </row>
    <row r="72" ht="15.75" customHeight="1">
      <c r="A72" s="96"/>
      <c r="B72" s="96"/>
      <c r="C72" s="96"/>
      <c r="D72" s="96"/>
      <c r="E72" s="96"/>
      <c r="F72" s="96"/>
      <c r="G72" s="96"/>
      <c r="H72" s="96"/>
      <c r="I72" s="96"/>
      <c r="M72" s="96"/>
    </row>
    <row r="73" ht="15.75" customHeight="1">
      <c r="A73" s="96"/>
      <c r="B73" s="96"/>
      <c r="C73" s="96"/>
      <c r="D73" s="96"/>
      <c r="E73" s="96"/>
      <c r="F73" s="96"/>
      <c r="G73" s="96"/>
      <c r="H73" s="96"/>
      <c r="I73" s="96"/>
      <c r="M73" s="96"/>
    </row>
    <row r="74" ht="15.75" customHeight="1">
      <c r="A74" s="96"/>
      <c r="B74" s="96"/>
      <c r="C74" s="96"/>
      <c r="D74" s="96"/>
      <c r="E74" s="96"/>
      <c r="F74" s="96"/>
      <c r="G74" s="96"/>
      <c r="H74" s="96"/>
      <c r="I74" s="96"/>
      <c r="M74" s="96"/>
    </row>
    <row r="75" ht="15.75" customHeight="1">
      <c r="A75" s="96"/>
      <c r="B75" s="96"/>
      <c r="C75" s="96"/>
      <c r="D75" s="96"/>
      <c r="E75" s="96"/>
      <c r="F75" s="96"/>
      <c r="G75" s="96"/>
      <c r="H75" s="96"/>
      <c r="I75" s="96"/>
      <c r="M75" s="96"/>
    </row>
    <row r="76" ht="15.75" customHeight="1">
      <c r="A76" s="96"/>
      <c r="B76" s="96"/>
      <c r="C76" s="96"/>
      <c r="D76" s="96"/>
      <c r="E76" s="96"/>
      <c r="F76" s="96"/>
      <c r="G76" s="96"/>
      <c r="H76" s="96"/>
      <c r="I76" s="96"/>
      <c r="M76" s="96"/>
    </row>
    <row r="77" ht="15.75" customHeight="1">
      <c r="A77" s="96"/>
      <c r="B77" s="96"/>
      <c r="C77" s="96"/>
      <c r="D77" s="96"/>
      <c r="E77" s="96"/>
      <c r="F77" s="96"/>
      <c r="G77" s="96"/>
      <c r="H77" s="96"/>
      <c r="I77" s="96"/>
      <c r="M77" s="96"/>
    </row>
    <row r="78" ht="15.75" customHeight="1">
      <c r="A78" s="96"/>
      <c r="B78" s="96"/>
      <c r="C78" s="96"/>
      <c r="D78" s="96"/>
      <c r="E78" s="96"/>
      <c r="F78" s="96"/>
      <c r="G78" s="96"/>
      <c r="H78" s="96"/>
      <c r="I78" s="96"/>
      <c r="M78" s="96"/>
    </row>
    <row r="79" ht="15.75" customHeight="1">
      <c r="A79" s="96"/>
      <c r="B79" s="96"/>
      <c r="C79" s="96"/>
      <c r="D79" s="96"/>
      <c r="E79" s="96"/>
      <c r="F79" s="96"/>
      <c r="G79" s="96"/>
      <c r="H79" s="96"/>
      <c r="I79" s="96"/>
      <c r="M79" s="96"/>
    </row>
    <row r="80" ht="15.75" customHeight="1">
      <c r="A80" s="96"/>
      <c r="B80" s="96"/>
      <c r="C80" s="96"/>
      <c r="D80" s="96"/>
      <c r="E80" s="96"/>
      <c r="F80" s="96"/>
      <c r="G80" s="96"/>
      <c r="H80" s="96"/>
      <c r="I80" s="96"/>
      <c r="M80" s="96"/>
    </row>
    <row r="81" ht="15.75" customHeight="1">
      <c r="A81" s="96"/>
      <c r="B81" s="96"/>
      <c r="C81" s="96"/>
      <c r="D81" s="96"/>
      <c r="E81" s="96"/>
      <c r="F81" s="96"/>
      <c r="G81" s="96"/>
      <c r="H81" s="96"/>
      <c r="I81" s="96"/>
      <c r="M81" s="96"/>
    </row>
    <row r="82" ht="15.75" customHeight="1">
      <c r="A82" s="96"/>
      <c r="B82" s="96"/>
      <c r="C82" s="96"/>
      <c r="D82" s="96"/>
      <c r="E82" s="96"/>
      <c r="F82" s="96"/>
      <c r="G82" s="96"/>
      <c r="H82" s="96"/>
      <c r="I82" s="96"/>
      <c r="M82" s="96"/>
    </row>
    <row r="83" ht="15.75" customHeight="1">
      <c r="A83" s="96"/>
      <c r="B83" s="96"/>
      <c r="C83" s="96"/>
      <c r="D83" s="96"/>
      <c r="E83" s="96"/>
      <c r="F83" s="96"/>
      <c r="G83" s="96"/>
      <c r="H83" s="96"/>
      <c r="I83" s="96"/>
      <c r="M83" s="96"/>
    </row>
    <row r="84" ht="15.75" customHeight="1">
      <c r="A84" s="96"/>
      <c r="B84" s="96"/>
      <c r="C84" s="96"/>
      <c r="D84" s="96"/>
      <c r="E84" s="96"/>
      <c r="F84" s="96"/>
      <c r="G84" s="96"/>
      <c r="H84" s="96"/>
      <c r="I84" s="96"/>
      <c r="M84" s="96"/>
    </row>
    <row r="85" ht="15.75" customHeight="1">
      <c r="A85" s="96"/>
      <c r="B85" s="96"/>
      <c r="C85" s="96"/>
      <c r="D85" s="96"/>
      <c r="E85" s="96"/>
      <c r="F85" s="96"/>
      <c r="G85" s="96"/>
      <c r="H85" s="96"/>
      <c r="I85" s="96"/>
      <c r="M85" s="96"/>
    </row>
    <row r="86" ht="15.75" customHeight="1">
      <c r="A86" s="96"/>
      <c r="B86" s="96"/>
      <c r="C86" s="96"/>
      <c r="D86" s="96"/>
      <c r="E86" s="96"/>
      <c r="F86" s="96"/>
      <c r="G86" s="96"/>
      <c r="H86" s="96"/>
      <c r="I86" s="96"/>
      <c r="M86" s="96"/>
    </row>
    <row r="87" ht="15.75" customHeight="1">
      <c r="A87" s="96"/>
      <c r="B87" s="96"/>
      <c r="C87" s="96"/>
      <c r="D87" s="96"/>
      <c r="E87" s="96"/>
      <c r="F87" s="96"/>
      <c r="G87" s="96"/>
      <c r="H87" s="96"/>
      <c r="I87" s="96"/>
      <c r="M87" s="96"/>
    </row>
    <row r="88" ht="15.75" customHeight="1">
      <c r="A88" s="96"/>
      <c r="B88" s="96"/>
      <c r="C88" s="96"/>
      <c r="D88" s="96"/>
      <c r="E88" s="96"/>
      <c r="F88" s="96"/>
      <c r="G88" s="96"/>
      <c r="H88" s="96"/>
      <c r="I88" s="96"/>
      <c r="M88" s="96"/>
    </row>
    <row r="89" ht="15.75" customHeight="1">
      <c r="A89" s="96"/>
      <c r="B89" s="96"/>
      <c r="C89" s="96"/>
      <c r="D89" s="96"/>
      <c r="E89" s="96"/>
      <c r="F89" s="96"/>
      <c r="G89" s="96"/>
      <c r="H89" s="96"/>
      <c r="I89" s="96"/>
      <c r="M89" s="96"/>
    </row>
    <row r="90" ht="15.75" customHeight="1">
      <c r="A90" s="96"/>
      <c r="B90" s="96"/>
      <c r="C90" s="96"/>
      <c r="D90" s="96"/>
      <c r="E90" s="96"/>
      <c r="F90" s="96"/>
      <c r="G90" s="96"/>
      <c r="H90" s="96"/>
      <c r="I90" s="96"/>
      <c r="M90" s="96"/>
    </row>
    <row r="91" ht="15.75" customHeight="1">
      <c r="A91" s="96"/>
      <c r="B91" s="96"/>
      <c r="C91" s="96"/>
      <c r="D91" s="96"/>
      <c r="E91" s="96"/>
      <c r="F91" s="96"/>
      <c r="G91" s="96"/>
      <c r="H91" s="96"/>
      <c r="I91" s="96"/>
      <c r="M91" s="96"/>
    </row>
    <row r="92" ht="15.75" customHeight="1">
      <c r="A92" s="96"/>
      <c r="B92" s="96"/>
      <c r="C92" s="96"/>
      <c r="D92" s="96"/>
      <c r="E92" s="96"/>
      <c r="F92" s="96"/>
      <c r="G92" s="96"/>
      <c r="H92" s="96"/>
      <c r="I92" s="96"/>
      <c r="M92" s="96"/>
    </row>
    <row r="93" ht="15.75" customHeight="1">
      <c r="A93" s="96"/>
      <c r="B93" s="96"/>
      <c r="C93" s="96"/>
      <c r="D93" s="96"/>
      <c r="E93" s="96"/>
      <c r="F93" s="96"/>
      <c r="G93" s="96"/>
      <c r="H93" s="96"/>
      <c r="I93" s="96"/>
      <c r="M93" s="96"/>
    </row>
    <row r="94" ht="15.75" customHeight="1">
      <c r="A94" s="96"/>
      <c r="B94" s="96"/>
      <c r="C94" s="96"/>
      <c r="D94" s="96"/>
      <c r="E94" s="96"/>
      <c r="F94" s="96"/>
      <c r="G94" s="96"/>
      <c r="H94" s="96"/>
      <c r="I94" s="96"/>
      <c r="M94" s="96"/>
    </row>
    <row r="95" ht="15.75" customHeight="1">
      <c r="A95" s="96"/>
      <c r="B95" s="96"/>
      <c r="C95" s="96"/>
      <c r="D95" s="96"/>
      <c r="E95" s="96"/>
      <c r="F95" s="96"/>
      <c r="G95" s="96"/>
      <c r="H95" s="96"/>
      <c r="I95" s="96"/>
      <c r="M95" s="96"/>
    </row>
    <row r="96" ht="15.75" customHeight="1">
      <c r="A96" s="96"/>
      <c r="B96" s="96"/>
      <c r="C96" s="96"/>
      <c r="D96" s="96"/>
      <c r="E96" s="96"/>
      <c r="F96" s="96"/>
      <c r="G96" s="96"/>
      <c r="H96" s="96"/>
      <c r="I96" s="96"/>
      <c r="M96" s="96"/>
    </row>
    <row r="97" ht="15.75" customHeight="1">
      <c r="A97" s="96"/>
      <c r="B97" s="96"/>
      <c r="C97" s="96"/>
      <c r="D97" s="96"/>
      <c r="E97" s="96"/>
      <c r="F97" s="96"/>
      <c r="G97" s="96"/>
      <c r="H97" s="96"/>
      <c r="I97" s="96"/>
      <c r="M97" s="96"/>
    </row>
    <row r="98" ht="15.75" customHeight="1">
      <c r="A98" s="96"/>
      <c r="B98" s="96"/>
      <c r="C98" s="96"/>
      <c r="D98" s="96"/>
      <c r="E98" s="96"/>
      <c r="F98" s="96"/>
      <c r="G98" s="96"/>
      <c r="H98" s="96"/>
      <c r="I98" s="96"/>
      <c r="M98" s="96"/>
    </row>
    <row r="99" ht="15.75" customHeight="1">
      <c r="A99" s="96"/>
      <c r="B99" s="96"/>
      <c r="C99" s="96"/>
      <c r="D99" s="96"/>
      <c r="E99" s="96"/>
      <c r="F99" s="96"/>
      <c r="G99" s="96"/>
      <c r="H99" s="96"/>
      <c r="I99" s="96"/>
      <c r="M99" s="96"/>
    </row>
    <row r="100" ht="15.75" customHeight="1">
      <c r="A100" s="96"/>
      <c r="B100" s="96"/>
      <c r="C100" s="96"/>
      <c r="D100" s="96"/>
      <c r="E100" s="96"/>
      <c r="F100" s="96"/>
      <c r="G100" s="96"/>
      <c r="H100" s="96"/>
      <c r="I100" s="96"/>
      <c r="M100" s="96"/>
    </row>
    <row r="101" ht="15.75" customHeight="1">
      <c r="A101" s="96"/>
      <c r="B101" s="96"/>
      <c r="C101" s="96"/>
      <c r="D101" s="96"/>
      <c r="E101" s="96"/>
      <c r="F101" s="96"/>
      <c r="G101" s="96"/>
      <c r="H101" s="96"/>
      <c r="I101" s="96"/>
      <c r="M101" s="96"/>
    </row>
    <row r="102" ht="15.75" customHeight="1">
      <c r="A102" s="96"/>
      <c r="B102" s="96"/>
      <c r="C102" s="96"/>
      <c r="D102" s="96"/>
      <c r="E102" s="96"/>
      <c r="F102" s="96"/>
      <c r="G102" s="96"/>
      <c r="H102" s="96"/>
      <c r="I102" s="96"/>
      <c r="M102" s="96"/>
    </row>
    <row r="103" ht="15.75" customHeight="1">
      <c r="A103" s="96"/>
      <c r="B103" s="96"/>
      <c r="C103" s="96"/>
      <c r="D103" s="96"/>
      <c r="E103" s="96"/>
      <c r="F103" s="96"/>
      <c r="G103" s="96"/>
      <c r="H103" s="96"/>
      <c r="I103" s="96"/>
      <c r="M103" s="96"/>
    </row>
    <row r="104" ht="15.75" customHeight="1">
      <c r="A104" s="96"/>
      <c r="B104" s="96"/>
      <c r="C104" s="96"/>
      <c r="D104" s="96"/>
      <c r="E104" s="96"/>
      <c r="F104" s="96"/>
      <c r="G104" s="96"/>
      <c r="H104" s="96"/>
      <c r="I104" s="96"/>
      <c r="M104" s="96"/>
    </row>
    <row r="105" ht="15.75" customHeight="1">
      <c r="A105" s="96"/>
      <c r="B105" s="96"/>
      <c r="C105" s="96"/>
      <c r="D105" s="96"/>
      <c r="E105" s="96"/>
      <c r="F105" s="96"/>
      <c r="G105" s="96"/>
      <c r="H105" s="96"/>
      <c r="I105" s="96"/>
      <c r="M105" s="96"/>
    </row>
    <row r="106" ht="15.75" customHeight="1">
      <c r="A106" s="96"/>
      <c r="B106" s="96"/>
      <c r="C106" s="96"/>
      <c r="D106" s="96"/>
      <c r="E106" s="96"/>
      <c r="F106" s="96"/>
      <c r="G106" s="96"/>
      <c r="H106" s="96"/>
      <c r="I106" s="96"/>
      <c r="M106" s="96"/>
    </row>
    <row r="107" ht="15.75" customHeight="1">
      <c r="A107" s="96"/>
      <c r="B107" s="96"/>
      <c r="C107" s="96"/>
      <c r="D107" s="96"/>
      <c r="E107" s="96"/>
      <c r="F107" s="96"/>
      <c r="G107" s="96"/>
      <c r="H107" s="96"/>
      <c r="I107" s="96"/>
      <c r="M107" s="96"/>
    </row>
    <row r="108" ht="15.75" customHeight="1">
      <c r="A108" s="96"/>
      <c r="B108" s="96"/>
      <c r="C108" s="96"/>
      <c r="D108" s="96"/>
      <c r="E108" s="96"/>
      <c r="F108" s="96"/>
      <c r="G108" s="96"/>
      <c r="H108" s="96"/>
      <c r="I108" s="96"/>
      <c r="M108" s="96"/>
    </row>
    <row r="109" ht="15.75" customHeight="1">
      <c r="A109" s="96"/>
      <c r="B109" s="96"/>
      <c r="C109" s="96"/>
      <c r="D109" s="96"/>
      <c r="E109" s="96"/>
      <c r="F109" s="96"/>
      <c r="G109" s="96"/>
      <c r="H109" s="96"/>
      <c r="I109" s="96"/>
      <c r="M109" s="96"/>
    </row>
    <row r="110" ht="15.75" customHeight="1">
      <c r="A110" s="96"/>
      <c r="B110" s="96"/>
      <c r="C110" s="96"/>
      <c r="D110" s="96"/>
      <c r="E110" s="96"/>
      <c r="F110" s="96"/>
      <c r="G110" s="96"/>
      <c r="H110" s="96"/>
      <c r="I110" s="96"/>
      <c r="M110" s="96"/>
    </row>
    <row r="111" ht="15.75" customHeight="1">
      <c r="A111" s="96"/>
      <c r="B111" s="96"/>
      <c r="C111" s="96"/>
      <c r="D111" s="96"/>
      <c r="E111" s="96"/>
      <c r="F111" s="96"/>
      <c r="G111" s="96"/>
      <c r="H111" s="96"/>
      <c r="I111" s="96"/>
      <c r="M111" s="96"/>
    </row>
    <row r="112" ht="15.75" customHeight="1">
      <c r="A112" s="96"/>
      <c r="B112" s="96"/>
      <c r="C112" s="96"/>
      <c r="D112" s="96"/>
      <c r="E112" s="96"/>
      <c r="F112" s="96"/>
      <c r="G112" s="96"/>
      <c r="H112" s="96"/>
      <c r="I112" s="96"/>
      <c r="M112" s="96"/>
    </row>
    <row r="113" ht="15.75" customHeight="1">
      <c r="A113" s="96"/>
      <c r="B113" s="96"/>
      <c r="C113" s="96"/>
      <c r="D113" s="96"/>
      <c r="E113" s="96"/>
      <c r="F113" s="96"/>
      <c r="G113" s="96"/>
      <c r="H113" s="96"/>
      <c r="I113" s="96"/>
      <c r="M113" s="96"/>
    </row>
    <row r="114" ht="15.75" customHeight="1">
      <c r="A114" s="96"/>
      <c r="B114" s="96"/>
      <c r="C114" s="96"/>
      <c r="D114" s="96"/>
      <c r="E114" s="96"/>
      <c r="F114" s="96"/>
      <c r="G114" s="96"/>
      <c r="H114" s="96"/>
      <c r="I114" s="96"/>
      <c r="M114" s="96"/>
    </row>
    <row r="115" ht="15.75" customHeight="1">
      <c r="A115" s="96"/>
      <c r="B115" s="96"/>
      <c r="C115" s="96"/>
      <c r="D115" s="96"/>
      <c r="E115" s="96"/>
      <c r="F115" s="96"/>
      <c r="G115" s="96"/>
      <c r="H115" s="96"/>
      <c r="I115" s="96"/>
      <c r="M115" s="96"/>
    </row>
    <row r="116" ht="15.75" customHeight="1">
      <c r="A116" s="96"/>
      <c r="B116" s="96"/>
      <c r="C116" s="96"/>
      <c r="D116" s="96"/>
      <c r="E116" s="96"/>
      <c r="F116" s="96"/>
      <c r="G116" s="96"/>
      <c r="H116" s="96"/>
      <c r="I116" s="96"/>
      <c r="M116" s="96"/>
    </row>
    <row r="117" ht="15.75" customHeight="1">
      <c r="A117" s="96"/>
      <c r="B117" s="96"/>
      <c r="C117" s="96"/>
      <c r="D117" s="96"/>
      <c r="E117" s="96"/>
      <c r="F117" s="96"/>
      <c r="G117" s="96"/>
      <c r="H117" s="96"/>
      <c r="I117" s="96"/>
      <c r="M117" s="96"/>
    </row>
    <row r="118" ht="15.75" customHeight="1">
      <c r="A118" s="96"/>
      <c r="B118" s="96"/>
      <c r="C118" s="96"/>
      <c r="D118" s="96"/>
      <c r="E118" s="96"/>
      <c r="F118" s="96"/>
      <c r="G118" s="96"/>
      <c r="H118" s="96"/>
      <c r="I118" s="96"/>
      <c r="M118" s="96"/>
    </row>
    <row r="119" ht="15.75" customHeight="1">
      <c r="A119" s="96"/>
      <c r="B119" s="96"/>
      <c r="C119" s="96"/>
      <c r="D119" s="96"/>
      <c r="E119" s="96"/>
      <c r="F119" s="96"/>
      <c r="G119" s="96"/>
      <c r="H119" s="96"/>
      <c r="I119" s="96"/>
      <c r="M119" s="96"/>
    </row>
    <row r="120" ht="15.75" customHeight="1">
      <c r="A120" s="96"/>
      <c r="B120" s="96"/>
      <c r="C120" s="96"/>
      <c r="D120" s="96"/>
      <c r="E120" s="96"/>
      <c r="F120" s="96"/>
      <c r="G120" s="96"/>
      <c r="H120" s="96"/>
      <c r="I120" s="96"/>
      <c r="M120" s="96"/>
    </row>
    <row r="121" ht="15.75" customHeight="1">
      <c r="A121" s="96"/>
      <c r="B121" s="96"/>
      <c r="C121" s="96"/>
      <c r="D121" s="96"/>
      <c r="E121" s="96"/>
      <c r="F121" s="96"/>
      <c r="G121" s="96"/>
      <c r="H121" s="96"/>
      <c r="I121" s="96"/>
      <c r="M121" s="96"/>
    </row>
    <row r="122" ht="15.75" customHeight="1">
      <c r="A122" s="96"/>
      <c r="B122" s="96"/>
      <c r="C122" s="96"/>
      <c r="D122" s="96"/>
      <c r="E122" s="96"/>
      <c r="F122" s="96"/>
      <c r="G122" s="96"/>
      <c r="H122" s="96"/>
      <c r="I122" s="96"/>
      <c r="M122" s="96"/>
    </row>
    <row r="123" ht="15.75" customHeight="1">
      <c r="A123" s="96"/>
      <c r="B123" s="96"/>
      <c r="C123" s="96"/>
      <c r="D123" s="96"/>
      <c r="E123" s="96"/>
      <c r="F123" s="96"/>
      <c r="G123" s="96"/>
      <c r="H123" s="96"/>
      <c r="I123" s="96"/>
      <c r="M123" s="96"/>
    </row>
    <row r="124" ht="15.75" customHeight="1">
      <c r="A124" s="96"/>
      <c r="B124" s="96"/>
      <c r="C124" s="96"/>
      <c r="D124" s="96"/>
      <c r="E124" s="96"/>
      <c r="F124" s="96"/>
      <c r="G124" s="96"/>
      <c r="H124" s="96"/>
      <c r="I124" s="96"/>
      <c r="M124" s="96"/>
    </row>
    <row r="125" ht="15.75" customHeight="1">
      <c r="A125" s="96"/>
      <c r="B125" s="96"/>
      <c r="C125" s="96"/>
      <c r="D125" s="96"/>
      <c r="E125" s="96"/>
      <c r="F125" s="96"/>
      <c r="G125" s="96"/>
      <c r="H125" s="96"/>
      <c r="I125" s="96"/>
      <c r="M125" s="96"/>
    </row>
    <row r="126" ht="15.75" customHeight="1">
      <c r="A126" s="96"/>
      <c r="B126" s="96"/>
      <c r="C126" s="96"/>
      <c r="D126" s="96"/>
      <c r="E126" s="96"/>
      <c r="F126" s="96"/>
      <c r="G126" s="96"/>
      <c r="H126" s="96"/>
      <c r="I126" s="96"/>
      <c r="M126" s="96"/>
    </row>
    <row r="127" ht="15.75" customHeight="1">
      <c r="A127" s="96"/>
      <c r="B127" s="96"/>
      <c r="C127" s="96"/>
      <c r="D127" s="96"/>
      <c r="E127" s="96"/>
      <c r="F127" s="96"/>
      <c r="G127" s="96"/>
      <c r="H127" s="96"/>
      <c r="I127" s="96"/>
      <c r="M127" s="96"/>
    </row>
    <row r="128" ht="15.75" customHeight="1">
      <c r="A128" s="96"/>
      <c r="B128" s="96"/>
      <c r="C128" s="96"/>
      <c r="D128" s="96"/>
      <c r="E128" s="96"/>
      <c r="F128" s="96"/>
      <c r="G128" s="96"/>
      <c r="H128" s="96"/>
      <c r="I128" s="96"/>
      <c r="M128" s="96"/>
    </row>
    <row r="129" ht="15.75" customHeight="1">
      <c r="A129" s="96"/>
      <c r="B129" s="96"/>
      <c r="C129" s="96"/>
      <c r="D129" s="96"/>
      <c r="E129" s="96"/>
      <c r="F129" s="96"/>
      <c r="G129" s="96"/>
      <c r="H129" s="96"/>
      <c r="I129" s="96"/>
      <c r="M129" s="96"/>
    </row>
    <row r="130" ht="15.75" customHeight="1">
      <c r="A130" s="96"/>
      <c r="B130" s="96"/>
      <c r="C130" s="96"/>
      <c r="D130" s="96"/>
      <c r="E130" s="96"/>
      <c r="F130" s="96"/>
      <c r="G130" s="96"/>
      <c r="H130" s="96"/>
      <c r="I130" s="96"/>
      <c r="M130" s="96"/>
    </row>
    <row r="131" ht="15.75" customHeight="1">
      <c r="A131" s="96"/>
      <c r="B131" s="96"/>
      <c r="C131" s="96"/>
      <c r="D131" s="96"/>
      <c r="E131" s="96"/>
      <c r="F131" s="96"/>
      <c r="G131" s="96"/>
      <c r="H131" s="96"/>
      <c r="I131" s="96"/>
      <c r="M131" s="96"/>
    </row>
    <row r="132" ht="15.75" customHeight="1">
      <c r="A132" s="96"/>
      <c r="B132" s="96"/>
      <c r="C132" s="96"/>
      <c r="D132" s="96"/>
      <c r="E132" s="96"/>
      <c r="F132" s="96"/>
      <c r="G132" s="96"/>
      <c r="H132" s="96"/>
      <c r="I132" s="96"/>
      <c r="M132" s="96"/>
    </row>
    <row r="133" ht="15.75" customHeight="1">
      <c r="A133" s="96"/>
      <c r="B133" s="96"/>
      <c r="C133" s="96"/>
      <c r="D133" s="96"/>
      <c r="E133" s="96"/>
      <c r="F133" s="96"/>
      <c r="G133" s="96"/>
      <c r="H133" s="96"/>
      <c r="I133" s="96"/>
      <c r="M133" s="96"/>
    </row>
    <row r="134" ht="15.75" customHeight="1">
      <c r="A134" s="96"/>
      <c r="B134" s="96"/>
      <c r="C134" s="96"/>
      <c r="D134" s="96"/>
      <c r="E134" s="96"/>
      <c r="F134" s="96"/>
      <c r="G134" s="96"/>
      <c r="H134" s="96"/>
      <c r="I134" s="96"/>
      <c r="M134" s="96"/>
    </row>
    <row r="135" ht="15.75" customHeight="1">
      <c r="A135" s="96"/>
      <c r="B135" s="96"/>
      <c r="C135" s="96"/>
      <c r="D135" s="96"/>
      <c r="E135" s="96"/>
      <c r="F135" s="96"/>
      <c r="G135" s="96"/>
      <c r="H135" s="96"/>
      <c r="I135" s="96"/>
      <c r="M135" s="96"/>
    </row>
    <row r="136" ht="15.75" customHeight="1">
      <c r="A136" s="96"/>
      <c r="B136" s="96"/>
      <c r="C136" s="96"/>
      <c r="D136" s="96"/>
      <c r="E136" s="96"/>
      <c r="F136" s="96"/>
      <c r="G136" s="96"/>
      <c r="H136" s="96"/>
      <c r="I136" s="96"/>
      <c r="M136" s="96"/>
    </row>
    <row r="137" ht="15.75" customHeight="1">
      <c r="A137" s="96"/>
      <c r="B137" s="96"/>
      <c r="C137" s="96"/>
      <c r="D137" s="96"/>
      <c r="E137" s="96"/>
      <c r="F137" s="96"/>
      <c r="G137" s="96"/>
      <c r="H137" s="96"/>
      <c r="I137" s="96"/>
      <c r="M137" s="96"/>
    </row>
    <row r="138" ht="15.75" customHeight="1">
      <c r="A138" s="96"/>
      <c r="B138" s="96"/>
      <c r="C138" s="96"/>
      <c r="D138" s="96"/>
      <c r="E138" s="96"/>
      <c r="F138" s="96"/>
      <c r="G138" s="96"/>
      <c r="H138" s="96"/>
      <c r="I138" s="96"/>
      <c r="M138" s="96"/>
    </row>
    <row r="139" ht="15.75" customHeight="1">
      <c r="A139" s="96"/>
      <c r="B139" s="96"/>
      <c r="C139" s="96"/>
      <c r="D139" s="96"/>
      <c r="E139" s="96"/>
      <c r="F139" s="96"/>
      <c r="G139" s="96"/>
      <c r="H139" s="96"/>
      <c r="I139" s="96"/>
      <c r="M139" s="96"/>
    </row>
    <row r="140" ht="15.75" customHeight="1">
      <c r="A140" s="96"/>
      <c r="B140" s="96"/>
      <c r="C140" s="96"/>
      <c r="D140" s="96"/>
      <c r="E140" s="96"/>
      <c r="F140" s="96"/>
      <c r="G140" s="96"/>
      <c r="H140" s="96"/>
      <c r="I140" s="96"/>
      <c r="M140" s="96"/>
    </row>
    <row r="141" ht="15.75" customHeight="1">
      <c r="A141" s="96"/>
      <c r="B141" s="96"/>
      <c r="C141" s="96"/>
      <c r="D141" s="96"/>
      <c r="E141" s="96"/>
      <c r="F141" s="96"/>
      <c r="G141" s="96"/>
      <c r="H141" s="96"/>
      <c r="I141" s="96"/>
      <c r="M141" s="96"/>
    </row>
    <row r="142" ht="15.75" customHeight="1">
      <c r="A142" s="96"/>
      <c r="B142" s="96"/>
      <c r="C142" s="96"/>
      <c r="D142" s="96"/>
      <c r="E142" s="96"/>
      <c r="F142" s="96"/>
      <c r="G142" s="96"/>
      <c r="H142" s="96"/>
      <c r="I142" s="96"/>
      <c r="M142" s="96"/>
    </row>
    <row r="143" ht="15.75" customHeight="1">
      <c r="A143" s="96"/>
      <c r="B143" s="96"/>
      <c r="C143" s="96"/>
      <c r="D143" s="96"/>
      <c r="E143" s="96"/>
      <c r="F143" s="96"/>
      <c r="G143" s="96"/>
      <c r="H143" s="96"/>
      <c r="I143" s="96"/>
      <c r="M143" s="96"/>
    </row>
    <row r="144" ht="15.75" customHeight="1">
      <c r="A144" s="96"/>
      <c r="B144" s="96"/>
      <c r="C144" s="96"/>
      <c r="D144" s="96"/>
      <c r="E144" s="96"/>
      <c r="F144" s="96"/>
      <c r="G144" s="96"/>
      <c r="H144" s="96"/>
      <c r="I144" s="96"/>
      <c r="M144" s="96"/>
    </row>
    <row r="145" ht="15.75" customHeight="1">
      <c r="A145" s="96"/>
      <c r="B145" s="96"/>
      <c r="C145" s="96"/>
      <c r="D145" s="96"/>
      <c r="E145" s="96"/>
      <c r="F145" s="96"/>
      <c r="G145" s="96"/>
      <c r="H145" s="96"/>
      <c r="I145" s="96"/>
      <c r="M145" s="96"/>
    </row>
    <row r="146" ht="15.75" customHeight="1">
      <c r="A146" s="96"/>
      <c r="B146" s="96"/>
      <c r="C146" s="96"/>
      <c r="D146" s="96"/>
      <c r="E146" s="96"/>
      <c r="F146" s="96"/>
      <c r="G146" s="96"/>
      <c r="H146" s="96"/>
      <c r="I146" s="96"/>
      <c r="M146" s="96"/>
    </row>
    <row r="147" ht="15.75" customHeight="1">
      <c r="A147" s="96"/>
      <c r="B147" s="96"/>
      <c r="C147" s="96"/>
      <c r="D147" s="96"/>
      <c r="E147" s="96"/>
      <c r="F147" s="96"/>
      <c r="G147" s="96"/>
      <c r="H147" s="96"/>
      <c r="I147" s="96"/>
      <c r="M147" s="96"/>
    </row>
    <row r="148" ht="15.75" customHeight="1">
      <c r="A148" s="96"/>
      <c r="B148" s="96"/>
      <c r="C148" s="96"/>
      <c r="D148" s="96"/>
      <c r="E148" s="96"/>
      <c r="F148" s="96"/>
      <c r="G148" s="96"/>
      <c r="H148" s="96"/>
      <c r="I148" s="96"/>
      <c r="M148" s="96"/>
    </row>
    <row r="149" ht="15.75" customHeight="1">
      <c r="A149" s="96"/>
      <c r="B149" s="96"/>
      <c r="C149" s="96"/>
      <c r="D149" s="96"/>
      <c r="E149" s="96"/>
      <c r="F149" s="96"/>
      <c r="G149" s="96"/>
      <c r="H149" s="96"/>
      <c r="I149" s="96"/>
      <c r="M149" s="96"/>
    </row>
    <row r="150" ht="15.75" customHeight="1">
      <c r="A150" s="96"/>
      <c r="B150" s="96"/>
      <c r="C150" s="96"/>
      <c r="D150" s="96"/>
      <c r="E150" s="96"/>
      <c r="F150" s="96"/>
      <c r="G150" s="96"/>
      <c r="H150" s="96"/>
      <c r="I150" s="96"/>
      <c r="M150" s="96"/>
    </row>
    <row r="151" ht="15.75" customHeight="1">
      <c r="A151" s="96"/>
      <c r="B151" s="96"/>
      <c r="C151" s="96"/>
      <c r="D151" s="96"/>
      <c r="E151" s="96"/>
      <c r="F151" s="96"/>
      <c r="G151" s="96"/>
      <c r="H151" s="96"/>
      <c r="I151" s="96"/>
      <c r="M151" s="96"/>
    </row>
    <row r="152" ht="15.75" customHeight="1">
      <c r="A152" s="96"/>
      <c r="B152" s="96"/>
      <c r="C152" s="96"/>
      <c r="D152" s="96"/>
      <c r="E152" s="96"/>
      <c r="F152" s="96"/>
      <c r="G152" s="96"/>
      <c r="H152" s="96"/>
      <c r="I152" s="96"/>
      <c r="M152" s="96"/>
    </row>
    <row r="153" ht="15.75" customHeight="1">
      <c r="A153" s="96"/>
      <c r="B153" s="96"/>
      <c r="C153" s="96"/>
      <c r="D153" s="96"/>
      <c r="E153" s="96"/>
      <c r="F153" s="96"/>
      <c r="G153" s="96"/>
      <c r="H153" s="96"/>
      <c r="I153" s="96"/>
      <c r="M153" s="96"/>
    </row>
    <row r="154" ht="15.75" customHeight="1">
      <c r="A154" s="96"/>
      <c r="B154" s="96"/>
      <c r="C154" s="96"/>
      <c r="D154" s="96"/>
      <c r="E154" s="96"/>
      <c r="F154" s="96"/>
      <c r="G154" s="96"/>
      <c r="H154" s="96"/>
      <c r="I154" s="96"/>
      <c r="M154" s="96"/>
    </row>
    <row r="155" ht="15.75" customHeight="1">
      <c r="A155" s="96"/>
      <c r="B155" s="96"/>
      <c r="C155" s="96"/>
      <c r="D155" s="96"/>
      <c r="E155" s="96"/>
      <c r="F155" s="96"/>
      <c r="G155" s="96"/>
      <c r="H155" s="96"/>
      <c r="I155" s="96"/>
      <c r="M155" s="96"/>
    </row>
    <row r="156" ht="15.75" customHeight="1">
      <c r="A156" s="96"/>
      <c r="B156" s="96"/>
      <c r="C156" s="96"/>
      <c r="D156" s="96"/>
      <c r="E156" s="96"/>
      <c r="F156" s="96"/>
      <c r="G156" s="96"/>
      <c r="H156" s="96"/>
      <c r="I156" s="96"/>
      <c r="M156" s="96"/>
    </row>
    <row r="157" ht="15.75" customHeight="1">
      <c r="A157" s="96"/>
      <c r="B157" s="96"/>
      <c r="C157" s="96"/>
      <c r="D157" s="96"/>
      <c r="E157" s="96"/>
      <c r="F157" s="96"/>
      <c r="G157" s="96"/>
      <c r="H157" s="96"/>
      <c r="I157" s="96"/>
      <c r="M157" s="96"/>
    </row>
    <row r="158" ht="15.75" customHeight="1">
      <c r="A158" s="96"/>
      <c r="B158" s="96"/>
      <c r="C158" s="96"/>
      <c r="D158" s="96"/>
      <c r="E158" s="96"/>
      <c r="F158" s="96"/>
      <c r="G158" s="96"/>
      <c r="H158" s="96"/>
      <c r="I158" s="96"/>
      <c r="M158" s="96"/>
    </row>
    <row r="159" ht="15.75" customHeight="1">
      <c r="A159" s="96"/>
      <c r="B159" s="96"/>
      <c r="C159" s="96"/>
      <c r="D159" s="96"/>
      <c r="E159" s="96"/>
      <c r="F159" s="96"/>
      <c r="G159" s="96"/>
      <c r="H159" s="96"/>
      <c r="I159" s="96"/>
      <c r="M159" s="96"/>
    </row>
    <row r="160" ht="15.75" customHeight="1">
      <c r="A160" s="96"/>
      <c r="B160" s="96"/>
      <c r="C160" s="96"/>
      <c r="D160" s="96"/>
      <c r="E160" s="96"/>
      <c r="F160" s="96"/>
      <c r="G160" s="96"/>
      <c r="H160" s="96"/>
      <c r="I160" s="96"/>
      <c r="M160" s="96"/>
    </row>
    <row r="161" ht="15.75" customHeight="1">
      <c r="A161" s="96"/>
      <c r="B161" s="96"/>
      <c r="C161" s="96"/>
      <c r="D161" s="96"/>
      <c r="E161" s="96"/>
      <c r="F161" s="96"/>
      <c r="G161" s="96"/>
      <c r="H161" s="96"/>
      <c r="I161" s="96"/>
      <c r="M161" s="96"/>
    </row>
    <row r="162" ht="15.75" customHeight="1">
      <c r="A162" s="96"/>
      <c r="B162" s="96"/>
      <c r="C162" s="96"/>
      <c r="D162" s="96"/>
      <c r="E162" s="96"/>
      <c r="F162" s="96"/>
      <c r="G162" s="96"/>
      <c r="H162" s="96"/>
      <c r="I162" s="96"/>
      <c r="M162" s="96"/>
    </row>
    <row r="163" ht="15.75" customHeight="1">
      <c r="A163" s="96"/>
      <c r="B163" s="96"/>
      <c r="C163" s="96"/>
      <c r="D163" s="96"/>
      <c r="E163" s="96"/>
      <c r="F163" s="96"/>
      <c r="G163" s="96"/>
      <c r="H163" s="96"/>
      <c r="I163" s="96"/>
      <c r="M163" s="96"/>
    </row>
    <row r="164" ht="15.75" customHeight="1">
      <c r="A164" s="96"/>
      <c r="B164" s="96"/>
      <c r="C164" s="96"/>
      <c r="D164" s="96"/>
      <c r="E164" s="96"/>
      <c r="F164" s="96"/>
      <c r="G164" s="96"/>
      <c r="H164" s="96"/>
      <c r="I164" s="96"/>
      <c r="M164" s="96"/>
    </row>
    <row r="165" ht="15.75" customHeight="1">
      <c r="A165" s="96"/>
      <c r="B165" s="96"/>
      <c r="C165" s="96"/>
      <c r="D165" s="96"/>
      <c r="E165" s="96"/>
      <c r="F165" s="96"/>
      <c r="G165" s="96"/>
      <c r="H165" s="96"/>
      <c r="I165" s="96"/>
      <c r="M165" s="96"/>
    </row>
    <row r="166" ht="15.75" customHeight="1">
      <c r="A166" s="96"/>
      <c r="B166" s="96"/>
      <c r="C166" s="96"/>
      <c r="D166" s="96"/>
      <c r="E166" s="96"/>
      <c r="F166" s="96"/>
      <c r="G166" s="96"/>
      <c r="H166" s="96"/>
      <c r="I166" s="96"/>
      <c r="M166" s="96"/>
    </row>
    <row r="167" ht="15.75" customHeight="1">
      <c r="A167" s="96"/>
      <c r="B167" s="96"/>
      <c r="C167" s="96"/>
      <c r="D167" s="96"/>
      <c r="E167" s="96"/>
      <c r="F167" s="96"/>
      <c r="G167" s="96"/>
      <c r="H167" s="96"/>
      <c r="I167" s="96"/>
      <c r="M167" s="96"/>
    </row>
    <row r="168" ht="15.75" customHeight="1">
      <c r="A168" s="96"/>
      <c r="B168" s="96"/>
      <c r="C168" s="96"/>
      <c r="D168" s="96"/>
      <c r="E168" s="96"/>
      <c r="F168" s="96"/>
      <c r="G168" s="96"/>
      <c r="H168" s="96"/>
      <c r="I168" s="96"/>
      <c r="M168" s="96"/>
    </row>
    <row r="169" ht="15.75" customHeight="1">
      <c r="A169" s="96"/>
      <c r="B169" s="96"/>
      <c r="C169" s="96"/>
      <c r="D169" s="96"/>
      <c r="E169" s="96"/>
      <c r="F169" s="96"/>
      <c r="G169" s="96"/>
      <c r="H169" s="96"/>
      <c r="I169" s="96"/>
      <c r="M169" s="96"/>
    </row>
    <row r="170" ht="15.75" customHeight="1">
      <c r="A170" s="96"/>
      <c r="B170" s="96"/>
      <c r="C170" s="96"/>
      <c r="D170" s="96"/>
      <c r="E170" s="96"/>
      <c r="F170" s="96"/>
      <c r="G170" s="96"/>
      <c r="H170" s="96"/>
      <c r="I170" s="96"/>
      <c r="M170" s="96"/>
    </row>
    <row r="171" ht="15.75" customHeight="1">
      <c r="A171" s="96"/>
      <c r="B171" s="96"/>
      <c r="C171" s="96"/>
      <c r="D171" s="96"/>
      <c r="E171" s="96"/>
      <c r="F171" s="96"/>
      <c r="G171" s="96"/>
      <c r="H171" s="96"/>
      <c r="I171" s="96"/>
      <c r="M171" s="96"/>
    </row>
    <row r="172" ht="15.75" customHeight="1">
      <c r="A172" s="96"/>
      <c r="B172" s="96"/>
      <c r="C172" s="96"/>
      <c r="D172" s="96"/>
      <c r="E172" s="96"/>
      <c r="F172" s="96"/>
      <c r="G172" s="96"/>
      <c r="H172" s="96"/>
      <c r="I172" s="96"/>
      <c r="M172" s="96"/>
    </row>
    <row r="173" ht="15.75" customHeight="1">
      <c r="A173" s="96"/>
      <c r="B173" s="96"/>
      <c r="C173" s="96"/>
      <c r="D173" s="96"/>
      <c r="E173" s="96"/>
      <c r="F173" s="96"/>
      <c r="G173" s="96"/>
      <c r="H173" s="96"/>
      <c r="I173" s="96"/>
      <c r="M173" s="96"/>
    </row>
    <row r="174" ht="15.75" customHeight="1">
      <c r="A174" s="96"/>
      <c r="B174" s="96"/>
      <c r="C174" s="96"/>
      <c r="D174" s="96"/>
      <c r="E174" s="96"/>
      <c r="F174" s="96"/>
      <c r="G174" s="96"/>
      <c r="H174" s="96"/>
      <c r="I174" s="96"/>
      <c r="M174" s="96"/>
    </row>
    <row r="175" ht="15.75" customHeight="1">
      <c r="A175" s="96"/>
      <c r="B175" s="96"/>
      <c r="C175" s="96"/>
      <c r="D175" s="96"/>
      <c r="E175" s="96"/>
      <c r="F175" s="96"/>
      <c r="G175" s="96"/>
      <c r="H175" s="96"/>
      <c r="I175" s="96"/>
      <c r="M175" s="96"/>
    </row>
    <row r="176" ht="15.75" customHeight="1">
      <c r="A176" s="96"/>
      <c r="B176" s="96"/>
      <c r="C176" s="96"/>
      <c r="D176" s="96"/>
      <c r="E176" s="96"/>
      <c r="F176" s="96"/>
      <c r="G176" s="96"/>
      <c r="H176" s="96"/>
      <c r="I176" s="96"/>
      <c r="M176" s="96"/>
    </row>
    <row r="177" ht="15.75" customHeight="1">
      <c r="A177" s="96"/>
      <c r="B177" s="96"/>
      <c r="C177" s="96"/>
      <c r="D177" s="96"/>
      <c r="E177" s="96"/>
      <c r="F177" s="96"/>
      <c r="G177" s="96"/>
      <c r="H177" s="96"/>
      <c r="I177" s="96"/>
      <c r="M177" s="96"/>
    </row>
    <row r="178" ht="15.75" customHeight="1">
      <c r="A178" s="96"/>
      <c r="B178" s="96"/>
      <c r="C178" s="96"/>
      <c r="D178" s="96"/>
      <c r="E178" s="96"/>
      <c r="F178" s="96"/>
      <c r="G178" s="96"/>
      <c r="H178" s="96"/>
      <c r="I178" s="96"/>
      <c r="M178" s="96"/>
    </row>
    <row r="179" ht="15.75" customHeight="1">
      <c r="A179" s="96"/>
      <c r="B179" s="96"/>
      <c r="C179" s="96"/>
      <c r="D179" s="96"/>
      <c r="E179" s="96"/>
      <c r="F179" s="96"/>
      <c r="G179" s="96"/>
      <c r="H179" s="96"/>
      <c r="I179" s="96"/>
      <c r="M179" s="96"/>
    </row>
    <row r="180" ht="15.75" customHeight="1">
      <c r="A180" s="96"/>
      <c r="B180" s="96"/>
      <c r="C180" s="96"/>
      <c r="D180" s="96"/>
      <c r="E180" s="96"/>
      <c r="F180" s="96"/>
      <c r="G180" s="96"/>
      <c r="H180" s="96"/>
      <c r="I180" s="96"/>
      <c r="M180" s="96"/>
    </row>
    <row r="181" ht="15.75" customHeight="1">
      <c r="A181" s="96"/>
      <c r="B181" s="96"/>
      <c r="C181" s="96"/>
      <c r="D181" s="96"/>
      <c r="E181" s="96"/>
      <c r="F181" s="96"/>
      <c r="G181" s="96"/>
      <c r="H181" s="96"/>
      <c r="I181" s="96"/>
      <c r="M181" s="96"/>
    </row>
    <row r="182" ht="15.75" customHeight="1">
      <c r="A182" s="96"/>
      <c r="B182" s="96"/>
      <c r="C182" s="96"/>
      <c r="D182" s="96"/>
      <c r="E182" s="96"/>
      <c r="F182" s="96"/>
      <c r="G182" s="96"/>
      <c r="H182" s="96"/>
      <c r="I182" s="96"/>
      <c r="M182" s="96"/>
    </row>
    <row r="183" ht="15.75" customHeight="1">
      <c r="A183" s="96"/>
      <c r="B183" s="96"/>
      <c r="C183" s="96"/>
      <c r="D183" s="96"/>
      <c r="E183" s="96"/>
      <c r="F183" s="96"/>
      <c r="G183" s="96"/>
      <c r="H183" s="96"/>
      <c r="I183" s="96"/>
      <c r="M183" s="96"/>
    </row>
    <row r="184" ht="15.75" customHeight="1">
      <c r="A184" s="96"/>
      <c r="B184" s="96"/>
      <c r="C184" s="96"/>
      <c r="D184" s="96"/>
      <c r="E184" s="96"/>
      <c r="F184" s="96"/>
      <c r="G184" s="96"/>
      <c r="H184" s="96"/>
      <c r="I184" s="96"/>
      <c r="M184" s="96"/>
    </row>
    <row r="185" ht="15.75" customHeight="1">
      <c r="A185" s="96"/>
      <c r="B185" s="96"/>
      <c r="C185" s="96"/>
      <c r="D185" s="96"/>
      <c r="E185" s="96"/>
      <c r="F185" s="96"/>
      <c r="G185" s="96"/>
      <c r="H185" s="96"/>
      <c r="I185" s="96"/>
      <c r="M185" s="96"/>
    </row>
    <row r="186" ht="15.75" customHeight="1">
      <c r="A186" s="96"/>
      <c r="B186" s="96"/>
      <c r="C186" s="96"/>
      <c r="D186" s="96"/>
      <c r="E186" s="96"/>
      <c r="F186" s="96"/>
      <c r="G186" s="96"/>
      <c r="H186" s="96"/>
      <c r="I186" s="96"/>
      <c r="M186" s="96"/>
    </row>
    <row r="187" ht="15.75" customHeight="1">
      <c r="A187" s="96"/>
      <c r="B187" s="96"/>
      <c r="C187" s="96"/>
      <c r="D187" s="96"/>
      <c r="E187" s="96"/>
      <c r="F187" s="96"/>
      <c r="G187" s="96"/>
      <c r="H187" s="96"/>
      <c r="I187" s="96"/>
      <c r="M187" s="96"/>
    </row>
    <row r="188" ht="15.75" customHeight="1">
      <c r="A188" s="96"/>
      <c r="B188" s="96"/>
      <c r="C188" s="96"/>
      <c r="D188" s="96"/>
      <c r="E188" s="96"/>
      <c r="F188" s="96"/>
      <c r="G188" s="96"/>
      <c r="H188" s="96"/>
      <c r="I188" s="96"/>
      <c r="M188" s="96"/>
    </row>
    <row r="189" ht="15.75" customHeight="1">
      <c r="A189" s="96"/>
      <c r="B189" s="96"/>
      <c r="C189" s="96"/>
      <c r="D189" s="96"/>
      <c r="E189" s="96"/>
      <c r="F189" s="96"/>
      <c r="G189" s="96"/>
      <c r="H189" s="96"/>
      <c r="I189" s="96"/>
      <c r="M189" s="96"/>
    </row>
    <row r="190" ht="15.75" customHeight="1">
      <c r="A190" s="96"/>
      <c r="B190" s="96"/>
      <c r="C190" s="96"/>
      <c r="D190" s="96"/>
      <c r="E190" s="96"/>
      <c r="F190" s="96"/>
      <c r="G190" s="96"/>
      <c r="H190" s="96"/>
      <c r="I190" s="96"/>
      <c r="M190" s="96"/>
    </row>
    <row r="191" ht="15.75" customHeight="1">
      <c r="A191" s="96"/>
      <c r="B191" s="96"/>
      <c r="C191" s="96"/>
      <c r="D191" s="96"/>
      <c r="E191" s="96"/>
      <c r="F191" s="96"/>
      <c r="G191" s="96"/>
      <c r="H191" s="96"/>
      <c r="I191" s="96"/>
      <c r="M191" s="96"/>
    </row>
    <row r="192" ht="15.75" customHeight="1">
      <c r="A192" s="96"/>
      <c r="B192" s="96"/>
      <c r="C192" s="96"/>
      <c r="D192" s="96"/>
      <c r="E192" s="96"/>
      <c r="F192" s="96"/>
      <c r="G192" s="96"/>
      <c r="H192" s="96"/>
      <c r="I192" s="96"/>
      <c r="M192" s="96"/>
    </row>
    <row r="193" ht="15.75" customHeight="1">
      <c r="A193" s="96"/>
      <c r="B193" s="96"/>
      <c r="C193" s="96"/>
      <c r="D193" s="96"/>
      <c r="E193" s="96"/>
      <c r="F193" s="96"/>
      <c r="G193" s="96"/>
      <c r="H193" s="96"/>
      <c r="I193" s="96"/>
      <c r="M193" s="96"/>
    </row>
    <row r="194" ht="15.75" customHeight="1">
      <c r="A194" s="96"/>
      <c r="B194" s="96"/>
      <c r="C194" s="96"/>
      <c r="D194" s="96"/>
      <c r="E194" s="96"/>
      <c r="F194" s="96"/>
      <c r="G194" s="96"/>
      <c r="H194" s="96"/>
      <c r="I194" s="96"/>
      <c r="M194" s="96"/>
    </row>
    <row r="195" ht="15.75" customHeight="1">
      <c r="A195" s="96"/>
      <c r="B195" s="96"/>
      <c r="C195" s="96"/>
      <c r="D195" s="96"/>
      <c r="E195" s="96"/>
      <c r="F195" s="96"/>
      <c r="G195" s="96"/>
      <c r="H195" s="96"/>
      <c r="I195" s="96"/>
      <c r="M195" s="96"/>
    </row>
    <row r="196" ht="15.75" customHeight="1">
      <c r="A196" s="96"/>
      <c r="B196" s="96"/>
      <c r="C196" s="96"/>
      <c r="D196" s="96"/>
      <c r="E196" s="96"/>
      <c r="F196" s="96"/>
      <c r="G196" s="96"/>
      <c r="H196" s="96"/>
      <c r="I196" s="96"/>
      <c r="M196" s="96"/>
    </row>
    <row r="197" ht="15.75" customHeight="1">
      <c r="A197" s="96"/>
      <c r="B197" s="96"/>
      <c r="C197" s="96"/>
      <c r="D197" s="96"/>
      <c r="E197" s="96"/>
      <c r="F197" s="96"/>
      <c r="G197" s="96"/>
      <c r="H197" s="96"/>
      <c r="I197" s="96"/>
      <c r="M197" s="96"/>
    </row>
    <row r="198" ht="15.75" customHeight="1">
      <c r="A198" s="96"/>
      <c r="B198" s="96"/>
      <c r="C198" s="96"/>
      <c r="D198" s="96"/>
      <c r="E198" s="96"/>
      <c r="F198" s="96"/>
      <c r="G198" s="96"/>
      <c r="H198" s="96"/>
      <c r="I198" s="96"/>
      <c r="M198" s="96"/>
    </row>
    <row r="199" ht="15.75" customHeight="1">
      <c r="A199" s="96"/>
      <c r="B199" s="96"/>
      <c r="C199" s="96"/>
      <c r="D199" s="96"/>
      <c r="E199" s="96"/>
      <c r="F199" s="96"/>
      <c r="G199" s="96"/>
      <c r="H199" s="96"/>
      <c r="I199" s="96"/>
      <c r="M199" s="96"/>
    </row>
    <row r="200" ht="15.75" customHeight="1">
      <c r="A200" s="96"/>
      <c r="B200" s="96"/>
      <c r="C200" s="96"/>
      <c r="D200" s="96"/>
      <c r="E200" s="96"/>
      <c r="F200" s="96"/>
      <c r="G200" s="96"/>
      <c r="H200" s="96"/>
      <c r="I200" s="96"/>
      <c r="M200" s="96"/>
    </row>
    <row r="201" ht="15.75" customHeight="1">
      <c r="A201" s="96"/>
      <c r="B201" s="96"/>
      <c r="C201" s="96"/>
      <c r="D201" s="96"/>
      <c r="E201" s="96"/>
      <c r="F201" s="96"/>
      <c r="G201" s="96"/>
      <c r="H201" s="96"/>
      <c r="I201" s="96"/>
      <c r="M201" s="96"/>
    </row>
    <row r="202" ht="15.75" customHeight="1">
      <c r="A202" s="96"/>
      <c r="B202" s="96"/>
      <c r="C202" s="96"/>
      <c r="D202" s="96"/>
      <c r="E202" s="96"/>
      <c r="F202" s="96"/>
      <c r="G202" s="96"/>
      <c r="H202" s="96"/>
      <c r="I202" s="96"/>
      <c r="M202" s="96"/>
    </row>
    <row r="203" ht="15.75" customHeight="1">
      <c r="A203" s="96"/>
      <c r="B203" s="96"/>
      <c r="C203" s="96"/>
      <c r="D203" s="96"/>
      <c r="E203" s="96"/>
      <c r="F203" s="96"/>
      <c r="G203" s="96"/>
      <c r="H203" s="96"/>
      <c r="I203" s="96"/>
      <c r="M203" s="96"/>
    </row>
    <row r="204" ht="15.75" customHeight="1">
      <c r="A204" s="96"/>
      <c r="B204" s="96"/>
      <c r="C204" s="96"/>
      <c r="D204" s="96"/>
      <c r="E204" s="96"/>
      <c r="F204" s="96"/>
      <c r="G204" s="96"/>
      <c r="H204" s="96"/>
      <c r="I204" s="96"/>
      <c r="M204" s="96"/>
    </row>
    <row r="205" ht="15.75" customHeight="1">
      <c r="A205" s="96"/>
      <c r="B205" s="96"/>
      <c r="C205" s="96"/>
      <c r="D205" s="96"/>
      <c r="E205" s="96"/>
      <c r="F205" s="96"/>
      <c r="G205" s="96"/>
      <c r="H205" s="96"/>
      <c r="I205" s="96"/>
      <c r="M205" s="96"/>
    </row>
    <row r="206" ht="15.75" customHeight="1">
      <c r="A206" s="96"/>
      <c r="B206" s="96"/>
      <c r="C206" s="96"/>
      <c r="D206" s="96"/>
      <c r="E206" s="96"/>
      <c r="F206" s="96"/>
      <c r="G206" s="96"/>
      <c r="H206" s="96"/>
      <c r="I206" s="96"/>
      <c r="M206" s="96"/>
    </row>
    <row r="207" ht="15.75" customHeight="1">
      <c r="A207" s="96"/>
      <c r="B207" s="96"/>
      <c r="C207" s="96"/>
      <c r="D207" s="96"/>
      <c r="E207" s="96"/>
      <c r="F207" s="96"/>
      <c r="G207" s="96"/>
      <c r="H207" s="96"/>
      <c r="I207" s="96"/>
      <c r="M207" s="96"/>
    </row>
    <row r="208" ht="15.75" customHeight="1">
      <c r="A208" s="96"/>
      <c r="B208" s="96"/>
      <c r="C208" s="96"/>
      <c r="D208" s="96"/>
      <c r="E208" s="96"/>
      <c r="F208" s="96"/>
      <c r="G208" s="96"/>
      <c r="H208" s="96"/>
      <c r="I208" s="96"/>
      <c r="M208" s="96"/>
    </row>
    <row r="209" ht="15.75" customHeight="1">
      <c r="A209" s="96"/>
      <c r="B209" s="96"/>
      <c r="C209" s="96"/>
      <c r="D209" s="96"/>
      <c r="E209" s="96"/>
      <c r="F209" s="96"/>
      <c r="G209" s="96"/>
      <c r="H209" s="96"/>
      <c r="I209" s="96"/>
      <c r="M209" s="96"/>
    </row>
    <row r="210" ht="15.75" customHeight="1">
      <c r="A210" s="96"/>
      <c r="B210" s="96"/>
      <c r="C210" s="96"/>
      <c r="D210" s="96"/>
      <c r="E210" s="96"/>
      <c r="F210" s="96"/>
      <c r="G210" s="96"/>
      <c r="H210" s="96"/>
      <c r="I210" s="96"/>
      <c r="M210" s="96"/>
    </row>
    <row r="211" ht="15.75" customHeight="1">
      <c r="A211" s="96"/>
      <c r="B211" s="96"/>
      <c r="C211" s="96"/>
      <c r="D211" s="96"/>
      <c r="E211" s="96"/>
      <c r="F211" s="96"/>
      <c r="G211" s="96"/>
      <c r="H211" s="96"/>
      <c r="I211" s="96"/>
      <c r="M211" s="96"/>
    </row>
    <row r="212" ht="15.75" customHeight="1">
      <c r="A212" s="96"/>
      <c r="B212" s="96"/>
      <c r="C212" s="96"/>
      <c r="D212" s="96"/>
      <c r="E212" s="96"/>
      <c r="F212" s="96"/>
      <c r="G212" s="96"/>
      <c r="H212" s="96"/>
      <c r="I212" s="96"/>
      <c r="M212" s="96"/>
    </row>
    <row r="213" ht="15.75" customHeight="1">
      <c r="A213" s="96"/>
      <c r="B213" s="96"/>
      <c r="C213" s="96"/>
      <c r="D213" s="96"/>
      <c r="E213" s="96"/>
      <c r="F213" s="96"/>
      <c r="G213" s="96"/>
      <c r="H213" s="96"/>
      <c r="I213" s="96"/>
      <c r="M213" s="96"/>
    </row>
    <row r="214" ht="15.75" customHeight="1">
      <c r="A214" s="96"/>
      <c r="B214" s="96"/>
      <c r="C214" s="96"/>
      <c r="D214" s="96"/>
      <c r="E214" s="96"/>
      <c r="F214" s="96"/>
      <c r="G214" s="96"/>
      <c r="H214" s="96"/>
      <c r="I214" s="96"/>
      <c r="M214" s="96"/>
    </row>
    <row r="215" ht="15.75" customHeight="1">
      <c r="A215" s="96"/>
      <c r="B215" s="96"/>
      <c r="C215" s="96"/>
      <c r="D215" s="96"/>
      <c r="E215" s="96"/>
      <c r="F215" s="96"/>
      <c r="G215" s="96"/>
      <c r="H215" s="96"/>
      <c r="I215" s="96"/>
      <c r="M215" s="96"/>
    </row>
    <row r="216" ht="15.75" customHeight="1">
      <c r="A216" s="96"/>
      <c r="B216" s="96"/>
      <c r="C216" s="96"/>
      <c r="D216" s="96"/>
      <c r="E216" s="96"/>
      <c r="F216" s="96"/>
      <c r="G216" s="96"/>
      <c r="H216" s="96"/>
      <c r="I216" s="96"/>
      <c r="M216" s="96"/>
    </row>
    <row r="217" ht="15.75" customHeight="1">
      <c r="A217" s="96"/>
      <c r="B217" s="96"/>
      <c r="C217" s="96"/>
      <c r="D217" s="96"/>
      <c r="E217" s="96"/>
      <c r="F217" s="96"/>
      <c r="G217" s="96"/>
      <c r="H217" s="96"/>
      <c r="I217" s="96"/>
      <c r="M217" s="96"/>
    </row>
    <row r="218" ht="15.75" customHeight="1">
      <c r="A218" s="96"/>
      <c r="B218" s="96"/>
      <c r="C218" s="96"/>
      <c r="D218" s="96"/>
      <c r="E218" s="96"/>
      <c r="F218" s="96"/>
      <c r="G218" s="96"/>
      <c r="H218" s="96"/>
      <c r="I218" s="96"/>
      <c r="M218" s="96"/>
    </row>
    <row r="219" ht="15.75" customHeight="1">
      <c r="A219" s="96"/>
      <c r="B219" s="96"/>
      <c r="C219" s="96"/>
      <c r="D219" s="96"/>
      <c r="E219" s="96"/>
      <c r="F219" s="96"/>
      <c r="G219" s="96"/>
      <c r="H219" s="96"/>
      <c r="I219" s="96"/>
      <c r="M219" s="96"/>
    </row>
    <row r="220" ht="15.75" customHeight="1">
      <c r="A220" s="96"/>
      <c r="B220" s="96"/>
      <c r="C220" s="96"/>
      <c r="D220" s="96"/>
      <c r="E220" s="96"/>
      <c r="F220" s="96"/>
      <c r="G220" s="96"/>
      <c r="H220" s="96"/>
      <c r="I220" s="96"/>
      <c r="M220" s="9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